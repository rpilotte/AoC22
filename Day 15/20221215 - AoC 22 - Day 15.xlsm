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5/"/>
    </mc:Choice>
  </mc:AlternateContent>
  <xr:revisionPtr revIDLastSave="0" documentId="13_ncr:1_{95DE2ED6-B085-B445-953E-5FFBC3EFE54F}" xr6:coauthVersionLast="47" xr6:coauthVersionMax="47" xr10:uidLastSave="{00000000-0000-0000-0000-000000000000}"/>
  <bookViews>
    <workbookView xWindow="67200" yWindow="-6320" windowWidth="38400" windowHeight="21100" xr2:uid="{3ABE3011-7DD5-2F47-BB74-68E57184C8BF}"/>
  </bookViews>
  <sheets>
    <sheet name="Part 1" sheetId="2" r:id="rId1"/>
    <sheet name="Part 2" sheetId="4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N36" i="2"/>
  <c r="B5" i="4"/>
  <c r="C5" i="4"/>
  <c r="D5" i="4"/>
  <c r="E5" i="4"/>
  <c r="F5" i="4"/>
  <c r="G5" i="4"/>
  <c r="H5" i="4"/>
  <c r="I5" i="4"/>
  <c r="J5" i="4"/>
  <c r="B6" i="4"/>
  <c r="C6" i="4"/>
  <c r="D6" i="4"/>
  <c r="E6" i="4"/>
  <c r="F6" i="4"/>
  <c r="G6" i="4"/>
  <c r="H6" i="4"/>
  <c r="I6" i="4"/>
  <c r="J6" i="4"/>
  <c r="B7" i="4"/>
  <c r="C7" i="4"/>
  <c r="D7" i="4"/>
  <c r="E7" i="4"/>
  <c r="F7" i="4"/>
  <c r="G7" i="4"/>
  <c r="H7" i="4"/>
  <c r="I7" i="4"/>
  <c r="J7" i="4"/>
  <c r="B8" i="4"/>
  <c r="C8" i="4"/>
  <c r="D8" i="4"/>
  <c r="E8" i="4"/>
  <c r="F8" i="4"/>
  <c r="G8" i="4"/>
  <c r="H8" i="4"/>
  <c r="I8" i="4"/>
  <c r="J8" i="4"/>
  <c r="B9" i="4"/>
  <c r="C9" i="4"/>
  <c r="D9" i="4"/>
  <c r="E9" i="4"/>
  <c r="F9" i="4"/>
  <c r="G9" i="4"/>
  <c r="H9" i="4"/>
  <c r="I9" i="4"/>
  <c r="J9" i="4"/>
  <c r="B10" i="4"/>
  <c r="C10" i="4"/>
  <c r="D10" i="4"/>
  <c r="E10" i="4"/>
  <c r="F10" i="4"/>
  <c r="G10" i="4"/>
  <c r="H10" i="4"/>
  <c r="I10" i="4"/>
  <c r="J10" i="4"/>
  <c r="B11" i="4"/>
  <c r="C11" i="4"/>
  <c r="D11" i="4"/>
  <c r="E11" i="4"/>
  <c r="F11" i="4"/>
  <c r="G11" i="4"/>
  <c r="H11" i="4"/>
  <c r="I11" i="4"/>
  <c r="J11" i="4"/>
  <c r="B12" i="4"/>
  <c r="C12" i="4"/>
  <c r="D12" i="4"/>
  <c r="E12" i="4"/>
  <c r="F12" i="4"/>
  <c r="G12" i="4"/>
  <c r="H12" i="4"/>
  <c r="I12" i="4"/>
  <c r="J12" i="4"/>
  <c r="B13" i="4"/>
  <c r="C13" i="4"/>
  <c r="D13" i="4"/>
  <c r="E13" i="4"/>
  <c r="F13" i="4"/>
  <c r="G13" i="4"/>
  <c r="H13" i="4"/>
  <c r="I13" i="4"/>
  <c r="J13" i="4"/>
  <c r="B14" i="4"/>
  <c r="C14" i="4"/>
  <c r="D14" i="4"/>
  <c r="E14" i="4"/>
  <c r="F14" i="4"/>
  <c r="G14" i="4"/>
  <c r="H14" i="4"/>
  <c r="I14" i="4"/>
  <c r="J14" i="4"/>
  <c r="B15" i="4"/>
  <c r="C15" i="4"/>
  <c r="D15" i="4"/>
  <c r="E15" i="4"/>
  <c r="F15" i="4"/>
  <c r="G15" i="4"/>
  <c r="H15" i="4"/>
  <c r="I15" i="4"/>
  <c r="J15" i="4"/>
  <c r="B16" i="4"/>
  <c r="C16" i="4"/>
  <c r="D16" i="4"/>
  <c r="E16" i="4"/>
  <c r="F16" i="4"/>
  <c r="G16" i="4"/>
  <c r="H16" i="4"/>
  <c r="I16" i="4"/>
  <c r="J16" i="4"/>
  <c r="B17" i="4"/>
  <c r="C17" i="4"/>
  <c r="D17" i="4"/>
  <c r="E17" i="4"/>
  <c r="F17" i="4"/>
  <c r="G17" i="4"/>
  <c r="H17" i="4"/>
  <c r="I17" i="4"/>
  <c r="J17" i="4"/>
  <c r="B18" i="4"/>
  <c r="C18" i="4"/>
  <c r="D18" i="4"/>
  <c r="E18" i="4"/>
  <c r="F18" i="4"/>
  <c r="G18" i="4"/>
  <c r="H18" i="4"/>
  <c r="I18" i="4"/>
  <c r="J18" i="4"/>
  <c r="B19" i="4"/>
  <c r="C19" i="4"/>
  <c r="D19" i="4"/>
  <c r="E19" i="4"/>
  <c r="F19" i="4"/>
  <c r="G19" i="4"/>
  <c r="H19" i="4"/>
  <c r="I19" i="4"/>
  <c r="J19" i="4"/>
  <c r="B20" i="4"/>
  <c r="C20" i="4"/>
  <c r="D20" i="4"/>
  <c r="E20" i="4"/>
  <c r="F20" i="4"/>
  <c r="G20" i="4"/>
  <c r="H20" i="4"/>
  <c r="I20" i="4"/>
  <c r="J20" i="4"/>
  <c r="B21" i="4"/>
  <c r="C21" i="4"/>
  <c r="D21" i="4"/>
  <c r="E21" i="4"/>
  <c r="F21" i="4"/>
  <c r="G21" i="4"/>
  <c r="H21" i="4"/>
  <c r="I21" i="4"/>
  <c r="J21" i="4"/>
  <c r="B22" i="4"/>
  <c r="C22" i="4"/>
  <c r="D22" i="4"/>
  <c r="E22" i="4"/>
  <c r="F22" i="4"/>
  <c r="G22" i="4"/>
  <c r="H22" i="4"/>
  <c r="I22" i="4"/>
  <c r="J22" i="4"/>
  <c r="B23" i="4"/>
  <c r="C23" i="4"/>
  <c r="D23" i="4"/>
  <c r="E23" i="4"/>
  <c r="F23" i="4"/>
  <c r="G23" i="4"/>
  <c r="H23" i="4"/>
  <c r="I23" i="4"/>
  <c r="J23" i="4"/>
  <c r="B24" i="4"/>
  <c r="C24" i="4"/>
  <c r="D24" i="4"/>
  <c r="E24" i="4"/>
  <c r="F24" i="4"/>
  <c r="G24" i="4"/>
  <c r="H24" i="4"/>
  <c r="I24" i="4"/>
  <c r="J24" i="4"/>
  <c r="B25" i="4"/>
  <c r="C25" i="4"/>
  <c r="D25" i="4"/>
  <c r="E25" i="4"/>
  <c r="F25" i="4"/>
  <c r="G25" i="4"/>
  <c r="H25" i="4"/>
  <c r="I25" i="4"/>
  <c r="J25" i="4"/>
  <c r="B26" i="4"/>
  <c r="C26" i="4"/>
  <c r="D26" i="4"/>
  <c r="E26" i="4"/>
  <c r="F26" i="4"/>
  <c r="G26" i="4"/>
  <c r="H26" i="4"/>
  <c r="I26" i="4"/>
  <c r="J26" i="4"/>
  <c r="B27" i="4"/>
  <c r="C27" i="4"/>
  <c r="D27" i="4"/>
  <c r="E27" i="4"/>
  <c r="F27" i="4"/>
  <c r="G27" i="4"/>
  <c r="H27" i="4"/>
  <c r="I27" i="4"/>
  <c r="J27" i="4"/>
  <c r="B28" i="4"/>
  <c r="C28" i="4"/>
  <c r="D28" i="4"/>
  <c r="E28" i="4"/>
  <c r="F28" i="4"/>
  <c r="G28" i="4"/>
  <c r="H28" i="4"/>
  <c r="I28" i="4"/>
  <c r="J28" i="4"/>
  <c r="B29" i="4"/>
  <c r="C29" i="4"/>
  <c r="D29" i="4"/>
  <c r="E29" i="4"/>
  <c r="F29" i="4"/>
  <c r="G29" i="4"/>
  <c r="H29" i="4"/>
  <c r="I29" i="4"/>
  <c r="J29" i="4"/>
  <c r="B30" i="4"/>
  <c r="C30" i="4"/>
  <c r="D30" i="4"/>
  <c r="E30" i="4"/>
  <c r="F30" i="4"/>
  <c r="G30" i="4"/>
  <c r="H30" i="4"/>
  <c r="I30" i="4"/>
  <c r="J30" i="4"/>
  <c r="B31" i="4"/>
  <c r="C31" i="4"/>
  <c r="D31" i="4"/>
  <c r="E31" i="4"/>
  <c r="F31" i="4"/>
  <c r="G31" i="4"/>
  <c r="H31" i="4"/>
  <c r="I31" i="4"/>
  <c r="J31" i="4"/>
  <c r="C4" i="4"/>
  <c r="D4" i="4"/>
  <c r="E4" i="4"/>
  <c r="F4" i="4"/>
  <c r="G4" i="4"/>
  <c r="H4" i="4"/>
  <c r="I4" i="4"/>
  <c r="J4" i="4"/>
  <c r="B4" i="4"/>
  <c r="D1" i="4" l="1"/>
  <c r="E1" i="4" s="1"/>
  <c r="F1" i="4" s="1"/>
  <c r="G1" i="4" s="1"/>
  <c r="H1" i="4" s="1"/>
  <c r="I1" i="4" s="1"/>
  <c r="J1" i="4" s="1"/>
  <c r="L1" i="4" s="1"/>
  <c r="M1" i="4" s="1"/>
  <c r="N1" i="4" s="1"/>
  <c r="O1" i="4" s="1"/>
  <c r="P1" i="4" s="1"/>
  <c r="Q1" i="4" s="1"/>
  <c r="R1" i="4" s="1"/>
  <c r="S1" i="4" s="1"/>
  <c r="T1" i="4" s="1"/>
  <c r="I34" i="4"/>
  <c r="G34" i="4"/>
  <c r="E34" i="4"/>
  <c r="C34" i="4"/>
  <c r="I33" i="4"/>
  <c r="G33" i="4"/>
  <c r="E33" i="4"/>
  <c r="C33" i="4"/>
  <c r="K23" i="2"/>
  <c r="K28" i="2"/>
  <c r="L28" i="2" s="1"/>
  <c r="I34" i="2"/>
  <c r="G34" i="2"/>
  <c r="E34" i="2"/>
  <c r="C34" i="2"/>
  <c r="I33" i="2"/>
  <c r="G33" i="2"/>
  <c r="E33" i="2"/>
  <c r="C33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J31" i="2"/>
  <c r="K31" i="2" s="1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J30" i="2"/>
  <c r="K30" i="2" s="1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J29" i="2"/>
  <c r="K29" i="2" s="1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J28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J27" i="2"/>
  <c r="K27" i="2" s="1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J26" i="2"/>
  <c r="K26" i="2" s="1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J25" i="2"/>
  <c r="K25" i="2" s="1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J24" i="2"/>
  <c r="K24" i="2" s="1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J23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J22" i="2"/>
  <c r="K22" i="2" s="1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J21" i="2"/>
  <c r="K21" i="2" s="1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J20" i="2"/>
  <c r="K20" i="2" s="1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J19" i="2"/>
  <c r="K19" i="2" s="1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J18" i="2"/>
  <c r="K18" i="2" s="1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J17" i="2"/>
  <c r="K17" i="2" s="1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J16" i="2"/>
  <c r="K16" i="2" s="1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J15" i="2"/>
  <c r="K15" i="2" s="1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J14" i="2"/>
  <c r="K14" i="2" s="1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J13" i="2"/>
  <c r="K13" i="2" s="1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J12" i="2"/>
  <c r="K12" i="2" s="1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J11" i="2"/>
  <c r="K11" i="2" s="1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J10" i="2"/>
  <c r="K10" i="2" s="1"/>
  <c r="M10" i="2" s="1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J9" i="2"/>
  <c r="K9" i="2" s="1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J8" i="2"/>
  <c r="K8" i="2" s="1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J7" i="2"/>
  <c r="K7" i="2" s="1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J6" i="2"/>
  <c r="K6" i="2" s="1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J5" i="2"/>
  <c r="K5" i="2" s="1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J4" i="2"/>
  <c r="K4" i="2" s="1"/>
  <c r="L10" i="2" l="1"/>
  <c r="K27" i="4"/>
  <c r="K8" i="4"/>
  <c r="K16" i="4"/>
  <c r="K4" i="4"/>
  <c r="K28" i="4"/>
  <c r="K12" i="4"/>
  <c r="K9" i="4"/>
  <c r="K5" i="4"/>
  <c r="K24" i="4"/>
  <c r="K20" i="4"/>
  <c r="K17" i="4"/>
  <c r="K13" i="4"/>
  <c r="K29" i="4"/>
  <c r="K25" i="4"/>
  <c r="K21" i="4"/>
  <c r="K15" i="4"/>
  <c r="K30" i="4"/>
  <c r="K7" i="4"/>
  <c r="K18" i="4"/>
  <c r="K22" i="4"/>
  <c r="K26" i="4"/>
  <c r="K10" i="4"/>
  <c r="K14" i="4"/>
  <c r="K6" i="4"/>
  <c r="K31" i="4"/>
  <c r="K19" i="4"/>
  <c r="K23" i="4"/>
  <c r="K11" i="4"/>
  <c r="L11" i="2"/>
  <c r="M11" i="2" s="1"/>
  <c r="L19" i="2"/>
  <c r="O19" i="2"/>
  <c r="M19" i="2"/>
  <c r="N19" i="2"/>
  <c r="O24" i="2"/>
  <c r="L24" i="2"/>
  <c r="M24" i="2"/>
  <c r="N24" i="2"/>
  <c r="L5" i="2"/>
  <c r="M5" i="2" s="1"/>
  <c r="M21" i="2"/>
  <c r="N21" i="2"/>
  <c r="L21" i="2"/>
  <c r="O21" i="2"/>
  <c r="O31" i="2"/>
  <c r="M31" i="2"/>
  <c r="L31" i="2"/>
  <c r="N31" i="2"/>
  <c r="L20" i="2"/>
  <c r="N20" i="2" s="1"/>
  <c r="O20" i="2" s="1"/>
  <c r="M20" i="2"/>
  <c r="L9" i="2"/>
  <c r="M9" i="2" s="1"/>
  <c r="M25" i="2"/>
  <c r="N25" i="2"/>
  <c r="L25" i="2"/>
  <c r="L27" i="2"/>
  <c r="M27" i="2"/>
  <c r="N27" i="2"/>
  <c r="O27" i="2"/>
  <c r="L8" i="2"/>
  <c r="M8" i="2" s="1"/>
  <c r="L16" i="2"/>
  <c r="N16" i="2" s="1"/>
  <c r="M13" i="2"/>
  <c r="N13" i="2"/>
  <c r="L13" i="2"/>
  <c r="L29" i="2"/>
  <c r="M29" i="2" s="1"/>
  <c r="M26" i="2"/>
  <c r="N26" i="2"/>
  <c r="O26" i="2"/>
  <c r="L26" i="2"/>
  <c r="L7" i="2"/>
  <c r="M7" i="2" s="1"/>
  <c r="O15" i="2"/>
  <c r="M15" i="2"/>
  <c r="L15" i="2"/>
  <c r="N15" i="2"/>
  <c r="M4" i="2"/>
  <c r="L4" i="2"/>
  <c r="O4" i="2"/>
  <c r="N4" i="2"/>
  <c r="L12" i="2"/>
  <c r="N12" i="2"/>
  <c r="M12" i="2"/>
  <c r="O6" i="2"/>
  <c r="M6" i="2"/>
  <c r="N6" i="2"/>
  <c r="L6" i="2"/>
  <c r="L14" i="2"/>
  <c r="N14" i="2" s="1"/>
  <c r="L22" i="2"/>
  <c r="N22" i="2" s="1"/>
  <c r="L30" i="2"/>
  <c r="M30" i="2" s="1"/>
  <c r="L18" i="2"/>
  <c r="N18" i="2" s="1"/>
  <c r="L17" i="2"/>
  <c r="M17" i="2" s="1"/>
  <c r="M28" i="2"/>
  <c r="N28" i="2"/>
  <c r="L23" i="2"/>
  <c r="N23" i="2" s="1"/>
  <c r="O23" i="2" s="1"/>
  <c r="M23" i="2"/>
  <c r="N10" i="2"/>
  <c r="O13" i="2"/>
  <c r="O25" i="2"/>
  <c r="O28" i="2"/>
  <c r="O12" i="2"/>
  <c r="L11" i="4" l="1"/>
  <c r="N11" i="4"/>
  <c r="M11" i="4"/>
  <c r="N22" i="4"/>
  <c r="M22" i="4"/>
  <c r="L14" i="4"/>
  <c r="N14" i="4"/>
  <c r="M14" i="4"/>
  <c r="L9" i="4"/>
  <c r="M9" i="4"/>
  <c r="N9" i="4"/>
  <c r="L10" i="4"/>
  <c r="M10" i="4"/>
  <c r="N10" i="4"/>
  <c r="L25" i="4"/>
  <c r="M25" i="4"/>
  <c r="N25" i="4"/>
  <c r="L12" i="4"/>
  <c r="N12" i="4"/>
  <c r="M12" i="4"/>
  <c r="M26" i="4"/>
  <c r="N26" i="4"/>
  <c r="N29" i="4"/>
  <c r="M29" i="4"/>
  <c r="N28" i="4"/>
  <c r="M28" i="4"/>
  <c r="L23" i="4"/>
  <c r="M23" i="4"/>
  <c r="N23" i="4"/>
  <c r="L18" i="4"/>
  <c r="M18" i="4"/>
  <c r="N18" i="4"/>
  <c r="L17" i="4"/>
  <c r="M17" i="4"/>
  <c r="N17" i="4"/>
  <c r="L16" i="4"/>
  <c r="M16" i="4"/>
  <c r="N16" i="4"/>
  <c r="L19" i="4"/>
  <c r="M19" i="4" s="1"/>
  <c r="N19" i="4"/>
  <c r="L7" i="4"/>
  <c r="M7" i="4"/>
  <c r="N7" i="4"/>
  <c r="L20" i="4"/>
  <c r="N20" i="4"/>
  <c r="M20" i="4"/>
  <c r="L8" i="4"/>
  <c r="M8" i="4"/>
  <c r="N8" i="4"/>
  <c r="L31" i="4"/>
  <c r="M31" i="4"/>
  <c r="N31" i="4"/>
  <c r="L30" i="4"/>
  <c r="N30" i="4"/>
  <c r="M30" i="4"/>
  <c r="L27" i="4"/>
  <c r="N27" i="4"/>
  <c r="M27" i="4"/>
  <c r="L15" i="4"/>
  <c r="M15" i="4"/>
  <c r="N15" i="4"/>
  <c r="L5" i="4"/>
  <c r="N5" i="4"/>
  <c r="M5" i="4"/>
  <c r="N17" i="2"/>
  <c r="O17" i="2" s="1"/>
  <c r="M22" i="2"/>
  <c r="O22" i="2" s="1"/>
  <c r="O16" i="2"/>
  <c r="O18" i="2"/>
  <c r="M18" i="2"/>
  <c r="L26" i="4"/>
  <c r="N11" i="2"/>
  <c r="O11" i="2" s="1"/>
  <c r="M16" i="2"/>
  <c r="L24" i="4"/>
  <c r="M24" i="4" s="1"/>
  <c r="L6" i="4"/>
  <c r="N6" i="4" s="1"/>
  <c r="L21" i="4"/>
  <c r="L22" i="4"/>
  <c r="L29" i="4"/>
  <c r="L13" i="4"/>
  <c r="N13" i="4" s="1"/>
  <c r="L4" i="4"/>
  <c r="L28" i="4"/>
  <c r="N8" i="2"/>
  <c r="O8" i="2" s="1"/>
  <c r="M14" i="2"/>
  <c r="O14" i="2" s="1"/>
  <c r="N7" i="2"/>
  <c r="O7" i="2" s="1"/>
  <c r="N9" i="2"/>
  <c r="O9" i="2" s="1"/>
  <c r="N30" i="2"/>
  <c r="O30" i="2" s="1"/>
  <c r="N29" i="2"/>
  <c r="O29" i="2" s="1"/>
  <c r="M34" i="2"/>
  <c r="N5" i="2"/>
  <c r="O5" i="2" s="1"/>
  <c r="O10" i="2"/>
  <c r="M6" i="4" l="1"/>
  <c r="N24" i="4"/>
  <c r="M4" i="4"/>
  <c r="M13" i="4"/>
  <c r="M21" i="4"/>
  <c r="N4" i="4"/>
  <c r="N21" i="4"/>
  <c r="M33" i="4"/>
  <c r="M33" i="2"/>
  <c r="N34" i="2"/>
  <c r="N33" i="2"/>
  <c r="O33" i="2"/>
  <c r="M34" i="4" l="1"/>
  <c r="O33" i="4"/>
  <c r="N34" i="4"/>
  <c r="N33" i="4"/>
</calcChain>
</file>

<file path=xl/sharedStrings.xml><?xml version="1.0" encoding="utf-8"?>
<sst xmlns="http://schemas.openxmlformats.org/spreadsheetml/2006/main" count="132" uniqueCount="14">
  <si>
    <t>Sensor at x</t>
  </si>
  <si>
    <t xml:space="preserve"> y</t>
  </si>
  <si>
    <t xml:space="preserve"> closest beacon is at x</t>
  </si>
  <si>
    <t>X</t>
  </si>
  <si>
    <t>Y</t>
  </si>
  <si>
    <t>Sensor</t>
  </si>
  <si>
    <t>MAX</t>
  </si>
  <si>
    <t>MIN</t>
  </si>
  <si>
    <t>Distance</t>
  </si>
  <si>
    <t>Min</t>
  </si>
  <si>
    <t>Max</t>
  </si>
  <si>
    <t>Points</t>
  </si>
  <si>
    <t>Part 1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</si>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</sst>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  <font>
      <b/>
      <sz val="12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0" xfId="1"/>
    <xf numFmtId="0" fontId="3" fillId="3" borderId="0" xfId="2"/>
    <xf numFmtId="0" fontId="4" fillId="4" borderId="1" xfId="3"/>
    <xf numFmtId="1" fontId="3" fillId="3" borderId="0" xfId="2" applyNumberFormat="1"/>
  </cellXfs>
  <cellStyles count="4">
    <cellStyle name="Bad" xfId="1" builtinId="27"/>
    <cellStyle name="Calculation" xfId="3" builtinId="22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</xdr:row>
          <xdr:rowOff>76200</xdr:rowOff>
        </xdr:from>
        <xdr:to>
          <xdr:col>2</xdr:col>
          <xdr:colOff>101600</xdr:colOff>
          <xdr:row>3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EF547F5-55E1-AB92-2171-6482D84E6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E811-B5EB-0F4F-BA66-C16AED328FB5}">
  <sheetPr codeName="Sheet2"/>
  <dimension ref="A1:AR36"/>
  <sheetViews>
    <sheetView tabSelected="1" workbookViewId="0">
      <selection activeCell="B2" sqref="B2"/>
    </sheetView>
  </sheetViews>
  <sheetFormatPr baseColWidth="10" defaultRowHeight="16" x14ac:dyDescent="0.2"/>
  <cols>
    <col min="2" max="2" width="10" bestFit="1" customWidth="1"/>
    <col min="3" max="3" width="8.1640625" bestFit="1" customWidth="1"/>
    <col min="4" max="4" width="2.5" bestFit="1" customWidth="1"/>
    <col min="5" max="5" width="8.1640625" bestFit="1" customWidth="1"/>
    <col min="6" max="6" width="19.1640625" bestFit="1" customWidth="1"/>
    <col min="7" max="7" width="8.83203125" bestFit="1" customWidth="1"/>
    <col min="8" max="8" width="2.5" bestFit="1" customWidth="1"/>
  </cols>
  <sheetData>
    <row r="1" spans="1:44" x14ac:dyDescent="0.2">
      <c r="A1" s="3" t="s">
        <v>12</v>
      </c>
      <c r="B1" s="3">
        <f>N36</f>
        <v>5142231</v>
      </c>
      <c r="K1">
        <v>2000000</v>
      </c>
    </row>
    <row r="2" spans="1:44" x14ac:dyDescent="0.2">
      <c r="E2" t="s">
        <v>5</v>
      </c>
      <c r="F2" t="s">
        <v>3</v>
      </c>
      <c r="J2" t="s">
        <v>8</v>
      </c>
      <c r="M2" t="s">
        <v>9</v>
      </c>
      <c r="N2" t="s">
        <v>10</v>
      </c>
      <c r="O2" t="s">
        <v>11</v>
      </c>
      <c r="Q2">
        <v>3088287</v>
      </c>
      <c r="R2">
        <v>289570</v>
      </c>
      <c r="S2">
        <v>1940197</v>
      </c>
      <c r="T2">
        <v>1979355</v>
      </c>
      <c r="U2">
        <v>2859415</v>
      </c>
      <c r="V2">
        <v>1015582</v>
      </c>
      <c r="W2">
        <v>1794782</v>
      </c>
      <c r="X2">
        <v>2357608</v>
      </c>
      <c r="Y2">
        <v>2936</v>
      </c>
      <c r="Z2">
        <v>2404143</v>
      </c>
      <c r="AA2">
        <v>12522</v>
      </c>
      <c r="AB2">
        <v>1989162</v>
      </c>
      <c r="AC2">
        <v>167388</v>
      </c>
      <c r="AD2">
        <v>1586527</v>
      </c>
      <c r="AE2">
        <v>746571</v>
      </c>
      <c r="AF2">
        <v>3969726</v>
      </c>
      <c r="AG2">
        <v>1403393</v>
      </c>
      <c r="AH2">
        <v>2343717</v>
      </c>
      <c r="AI2">
        <v>1473424</v>
      </c>
      <c r="AJ2">
        <v>2669347</v>
      </c>
      <c r="AK2">
        <v>2973167</v>
      </c>
      <c r="AL2">
        <v>2011835</v>
      </c>
      <c r="AM2">
        <v>1602224</v>
      </c>
      <c r="AN2">
        <v>3928889</v>
      </c>
      <c r="AO2">
        <v>2018358</v>
      </c>
      <c r="AP2">
        <v>1811905</v>
      </c>
      <c r="AQ2">
        <v>1767697</v>
      </c>
      <c r="AR2">
        <v>260786</v>
      </c>
    </row>
    <row r="3" spans="1:44" x14ac:dyDescent="0.2">
      <c r="F3" t="s">
        <v>4</v>
      </c>
      <c r="Q3">
        <v>2966967</v>
      </c>
      <c r="R3">
        <v>339999</v>
      </c>
      <c r="S3">
        <v>3386754</v>
      </c>
      <c r="T3">
        <v>2150711</v>
      </c>
      <c r="U3">
        <v>1555438</v>
      </c>
      <c r="V3">
        <v>2054755</v>
      </c>
      <c r="W3">
        <v>3963737</v>
      </c>
      <c r="X3">
        <v>2559811</v>
      </c>
      <c r="Y3">
        <v>1218210</v>
      </c>
      <c r="Z3">
        <v>3161036</v>
      </c>
      <c r="AA3">
        <v>1706324</v>
      </c>
      <c r="AB3">
        <v>3317864</v>
      </c>
      <c r="AC3">
        <v>3570975</v>
      </c>
      <c r="AD3">
        <v>2233885</v>
      </c>
      <c r="AE3">
        <v>1442967</v>
      </c>
      <c r="AF3">
        <v>3857699</v>
      </c>
      <c r="AG3">
        <v>2413121</v>
      </c>
      <c r="AH3">
        <v>3649198</v>
      </c>
      <c r="AI3">
        <v>688269</v>
      </c>
      <c r="AJ3">
        <v>190833</v>
      </c>
      <c r="AK3">
        <v>3783783</v>
      </c>
      <c r="AL3">
        <v>3314181</v>
      </c>
      <c r="AM3">
        <v>2989728</v>
      </c>
      <c r="AN3">
        <v>1064434</v>
      </c>
      <c r="AO3">
        <v>3301778</v>
      </c>
      <c r="AP3">
        <v>2084187</v>
      </c>
      <c r="AQ3">
        <v>1873118</v>
      </c>
      <c r="AR3">
        <v>1154525</v>
      </c>
    </row>
    <row r="4" spans="1:44" ht="17" x14ac:dyDescent="0.25">
      <c r="B4" s="1" t="s">
        <v>0</v>
      </c>
      <c r="C4">
        <v>3088287</v>
      </c>
      <c r="D4" t="s">
        <v>1</v>
      </c>
      <c r="E4">
        <v>2966967</v>
      </c>
      <c r="F4" t="s">
        <v>2</v>
      </c>
      <c r="G4">
        <v>3340990</v>
      </c>
      <c r="H4" t="s">
        <v>1</v>
      </c>
      <c r="I4">
        <v>2451747</v>
      </c>
      <c r="J4">
        <f>ABS(C4-G4)+ABS(E4-I4)</f>
        <v>767923</v>
      </c>
      <c r="K4" s="2" t="str">
        <f t="shared" ref="K4:K9" si="0">IF(ABS($K$1-E4)-J4&lt;0,ABS($K$1-E4),"")</f>
        <v/>
      </c>
      <c r="L4" s="2" t="str">
        <f>IF(K4&lt;&gt;"",J4-K4,"")</f>
        <v/>
      </c>
      <c r="M4" s="2">
        <f>IF(K4&lt;&gt;"",C4-L4,0)</f>
        <v>0</v>
      </c>
      <c r="N4" s="2">
        <f>IF(K4&lt;&gt;"",C4+L4,0)</f>
        <v>0</v>
      </c>
      <c r="O4" s="2">
        <f t="shared" ref="O4:O9" si="1">IF(K4&lt;&gt;"",N4-M4+1,0)</f>
        <v>0</v>
      </c>
      <c r="Q4">
        <f>ABS($G4-Q$2)+ABS($I4-Q$3)</f>
        <v>767923</v>
      </c>
      <c r="R4">
        <f t="shared" ref="R4:AR13" si="2">ABS($G4-R$2)+ABS($I4-R$3)</f>
        <v>5163168</v>
      </c>
      <c r="S4">
        <f t="shared" si="2"/>
        <v>2335800</v>
      </c>
      <c r="T4">
        <f t="shared" si="2"/>
        <v>1662671</v>
      </c>
      <c r="U4">
        <f t="shared" si="2"/>
        <v>1377884</v>
      </c>
      <c r="V4">
        <f t="shared" si="2"/>
        <v>2722400</v>
      </c>
      <c r="W4">
        <f t="shared" si="2"/>
        <v>3058198</v>
      </c>
      <c r="X4">
        <f t="shared" si="2"/>
        <v>1091446</v>
      </c>
      <c r="Y4">
        <f t="shared" si="2"/>
        <v>4571591</v>
      </c>
      <c r="Z4">
        <f t="shared" si="2"/>
        <v>1646136</v>
      </c>
      <c r="AA4">
        <f t="shared" si="2"/>
        <v>4073891</v>
      </c>
      <c r="AB4">
        <f t="shared" si="2"/>
        <v>2217945</v>
      </c>
      <c r="AC4">
        <f t="shared" si="2"/>
        <v>4292830</v>
      </c>
      <c r="AD4">
        <f t="shared" si="2"/>
        <v>1972325</v>
      </c>
      <c r="AE4">
        <f t="shared" si="2"/>
        <v>3603199</v>
      </c>
      <c r="AF4">
        <f t="shared" si="2"/>
        <v>2034688</v>
      </c>
      <c r="AG4">
        <f t="shared" si="2"/>
        <v>1976223</v>
      </c>
      <c r="AH4">
        <f t="shared" si="2"/>
        <v>2194724</v>
      </c>
      <c r="AI4">
        <f t="shared" si="2"/>
        <v>3631044</v>
      </c>
      <c r="AJ4">
        <f t="shared" si="2"/>
        <v>2932557</v>
      </c>
      <c r="AK4">
        <f t="shared" si="2"/>
        <v>1699859</v>
      </c>
      <c r="AL4">
        <f t="shared" si="2"/>
        <v>2191589</v>
      </c>
      <c r="AM4">
        <f t="shared" si="2"/>
        <v>2276747</v>
      </c>
      <c r="AN4">
        <f t="shared" si="2"/>
        <v>1975212</v>
      </c>
      <c r="AO4">
        <f t="shared" si="2"/>
        <v>2172663</v>
      </c>
      <c r="AP4">
        <f t="shared" si="2"/>
        <v>1896645</v>
      </c>
      <c r="AQ4">
        <f t="shared" si="2"/>
        <v>2151922</v>
      </c>
      <c r="AR4">
        <f t="shared" si="2"/>
        <v>4377426</v>
      </c>
    </row>
    <row r="5" spans="1:44" ht="17" x14ac:dyDescent="0.25">
      <c r="B5" s="1" t="s">
        <v>0</v>
      </c>
      <c r="C5">
        <v>289570</v>
      </c>
      <c r="D5" t="s">
        <v>1</v>
      </c>
      <c r="E5">
        <v>339999</v>
      </c>
      <c r="F5" t="s">
        <v>2</v>
      </c>
      <c r="G5">
        <v>20077</v>
      </c>
      <c r="H5" t="s">
        <v>1</v>
      </c>
      <c r="I5">
        <v>1235084</v>
      </c>
      <c r="J5">
        <f t="shared" ref="J5:J31" si="3">ABS(C5-G5)+ABS(E5-I5)</f>
        <v>1164578</v>
      </c>
      <c r="K5" s="2" t="str">
        <f t="shared" si="0"/>
        <v/>
      </c>
      <c r="L5" s="2" t="str">
        <f t="shared" ref="L5:L31" si="4">IF(K5&lt;&gt;"",J5-K5,"")</f>
        <v/>
      </c>
      <c r="M5" s="2">
        <f t="shared" ref="M5:M31" si="5">IF(K5&lt;&gt;"",C5-L5,0)</f>
        <v>0</v>
      </c>
      <c r="N5" s="2">
        <f t="shared" ref="N5:N31" si="6">IF(K5&lt;&gt;"",C5+L5,0)</f>
        <v>0</v>
      </c>
      <c r="O5" s="2">
        <f t="shared" si="1"/>
        <v>0</v>
      </c>
      <c r="Q5">
        <f t="shared" ref="Q5:AF28" si="7">ABS($G5-Q$2)+ABS($I5-Q$3)</f>
        <v>4800093</v>
      </c>
      <c r="R5">
        <f t="shared" si="7"/>
        <v>1164578</v>
      </c>
      <c r="S5">
        <f t="shared" si="7"/>
        <v>4071790</v>
      </c>
      <c r="T5">
        <f t="shared" si="7"/>
        <v>2874905</v>
      </c>
      <c r="U5">
        <f t="shared" si="7"/>
        <v>3159692</v>
      </c>
      <c r="V5">
        <f t="shared" si="7"/>
        <v>1815176</v>
      </c>
      <c r="W5">
        <f t="shared" si="7"/>
        <v>4503358</v>
      </c>
      <c r="X5">
        <f t="shared" si="7"/>
        <v>3662258</v>
      </c>
      <c r="Y5">
        <f t="shared" si="7"/>
        <v>34015</v>
      </c>
      <c r="Z5">
        <f t="shared" si="7"/>
        <v>4310018</v>
      </c>
      <c r="AA5">
        <f t="shared" si="7"/>
        <v>478795</v>
      </c>
      <c r="AB5">
        <f t="shared" si="7"/>
        <v>4051865</v>
      </c>
      <c r="AC5">
        <f t="shared" si="7"/>
        <v>2483202</v>
      </c>
      <c r="AD5">
        <f t="shared" si="7"/>
        <v>2565251</v>
      </c>
      <c r="AE5">
        <f t="shared" si="7"/>
        <v>934377</v>
      </c>
      <c r="AF5">
        <f t="shared" si="7"/>
        <v>6572264</v>
      </c>
      <c r="AG5">
        <f t="shared" si="2"/>
        <v>2561353</v>
      </c>
      <c r="AH5">
        <f t="shared" si="2"/>
        <v>4737754</v>
      </c>
      <c r="AI5">
        <f t="shared" si="2"/>
        <v>2000162</v>
      </c>
      <c r="AJ5">
        <f t="shared" si="2"/>
        <v>3693521</v>
      </c>
      <c r="AK5">
        <f t="shared" si="2"/>
        <v>5501789</v>
      </c>
      <c r="AL5">
        <f t="shared" si="2"/>
        <v>4070855</v>
      </c>
      <c r="AM5">
        <f t="shared" si="2"/>
        <v>3336791</v>
      </c>
      <c r="AN5">
        <f t="shared" si="2"/>
        <v>4079462</v>
      </c>
      <c r="AO5">
        <f t="shared" si="2"/>
        <v>4064975</v>
      </c>
      <c r="AP5">
        <f t="shared" si="2"/>
        <v>2640931</v>
      </c>
      <c r="AQ5">
        <f t="shared" si="2"/>
        <v>2385654</v>
      </c>
      <c r="AR5">
        <f t="shared" si="2"/>
        <v>321268</v>
      </c>
    </row>
    <row r="6" spans="1:44" ht="17" x14ac:dyDescent="0.25">
      <c r="B6" s="1" t="s">
        <v>0</v>
      </c>
      <c r="C6">
        <v>1940197</v>
      </c>
      <c r="D6" t="s">
        <v>1</v>
      </c>
      <c r="E6">
        <v>3386754</v>
      </c>
      <c r="F6" t="s">
        <v>2</v>
      </c>
      <c r="G6">
        <v>2010485</v>
      </c>
      <c r="H6" t="s">
        <v>1</v>
      </c>
      <c r="I6">
        <v>3291030</v>
      </c>
      <c r="J6">
        <f t="shared" si="3"/>
        <v>166012</v>
      </c>
      <c r="K6" s="2" t="str">
        <f t="shared" si="0"/>
        <v/>
      </c>
      <c r="L6" s="2" t="str">
        <f t="shared" si="4"/>
        <v/>
      </c>
      <c r="M6" s="2">
        <f t="shared" si="5"/>
        <v>0</v>
      </c>
      <c r="N6" s="2">
        <f t="shared" si="6"/>
        <v>0</v>
      </c>
      <c r="O6" s="2">
        <f t="shared" si="1"/>
        <v>0</v>
      </c>
      <c r="Q6">
        <f t="shared" si="7"/>
        <v>1401865</v>
      </c>
      <c r="R6">
        <f t="shared" si="2"/>
        <v>4671946</v>
      </c>
      <c r="S6">
        <f t="shared" si="2"/>
        <v>166012</v>
      </c>
      <c r="T6">
        <f t="shared" si="2"/>
        <v>1171449</v>
      </c>
      <c r="U6">
        <f t="shared" si="2"/>
        <v>2584522</v>
      </c>
      <c r="V6">
        <f t="shared" si="2"/>
        <v>2231178</v>
      </c>
      <c r="W6">
        <f t="shared" si="2"/>
        <v>888410</v>
      </c>
      <c r="X6">
        <f t="shared" si="2"/>
        <v>1078342</v>
      </c>
      <c r="Y6">
        <f t="shared" si="2"/>
        <v>4080369</v>
      </c>
      <c r="Z6">
        <f t="shared" si="2"/>
        <v>523652</v>
      </c>
      <c r="AA6">
        <f t="shared" si="2"/>
        <v>3582669</v>
      </c>
      <c r="AB6">
        <f t="shared" si="2"/>
        <v>48157</v>
      </c>
      <c r="AC6">
        <f t="shared" si="2"/>
        <v>2123042</v>
      </c>
      <c r="AD6">
        <f t="shared" si="2"/>
        <v>1481103</v>
      </c>
      <c r="AE6">
        <f t="shared" si="2"/>
        <v>3111977</v>
      </c>
      <c r="AF6">
        <f t="shared" si="2"/>
        <v>2525910</v>
      </c>
      <c r="AG6">
        <f t="shared" si="2"/>
        <v>1485001</v>
      </c>
      <c r="AH6">
        <f t="shared" si="2"/>
        <v>691400</v>
      </c>
      <c r="AI6">
        <f t="shared" si="2"/>
        <v>3139822</v>
      </c>
      <c r="AJ6">
        <f t="shared" si="2"/>
        <v>3759059</v>
      </c>
      <c r="AK6">
        <f t="shared" si="2"/>
        <v>1455435</v>
      </c>
      <c r="AL6">
        <f t="shared" si="2"/>
        <v>24501</v>
      </c>
      <c r="AM6">
        <f t="shared" si="2"/>
        <v>709563</v>
      </c>
      <c r="AN6">
        <f t="shared" si="2"/>
        <v>4145000</v>
      </c>
      <c r="AO6">
        <f t="shared" si="2"/>
        <v>18621</v>
      </c>
      <c r="AP6">
        <f t="shared" si="2"/>
        <v>1405423</v>
      </c>
      <c r="AQ6">
        <f t="shared" si="2"/>
        <v>1660700</v>
      </c>
      <c r="AR6">
        <f t="shared" si="2"/>
        <v>3886204</v>
      </c>
    </row>
    <row r="7" spans="1:44" ht="17" x14ac:dyDescent="0.25">
      <c r="B7" s="1" t="s">
        <v>0</v>
      </c>
      <c r="C7">
        <v>1979355</v>
      </c>
      <c r="D7" t="s">
        <v>1</v>
      </c>
      <c r="E7">
        <v>2150711</v>
      </c>
      <c r="F7" t="s">
        <v>2</v>
      </c>
      <c r="G7">
        <v>1690952</v>
      </c>
      <c r="H7" t="s">
        <v>1</v>
      </c>
      <c r="I7">
        <v>2000000</v>
      </c>
      <c r="J7">
        <f t="shared" si="3"/>
        <v>439114</v>
      </c>
      <c r="K7" s="2">
        <f t="shared" si="0"/>
        <v>150711</v>
      </c>
      <c r="L7" s="2">
        <f t="shared" si="4"/>
        <v>288403</v>
      </c>
      <c r="M7" s="2">
        <f t="shared" si="5"/>
        <v>1690952</v>
      </c>
      <c r="N7" s="2">
        <f t="shared" si="6"/>
        <v>2267758</v>
      </c>
      <c r="O7" s="2">
        <f t="shared" si="1"/>
        <v>576807</v>
      </c>
      <c r="Q7">
        <f t="shared" si="7"/>
        <v>2364302</v>
      </c>
      <c r="R7">
        <f t="shared" si="2"/>
        <v>3061383</v>
      </c>
      <c r="S7">
        <f t="shared" si="2"/>
        <v>1635999</v>
      </c>
      <c r="T7">
        <f t="shared" si="2"/>
        <v>439114</v>
      </c>
      <c r="U7">
        <f t="shared" si="2"/>
        <v>1613025</v>
      </c>
      <c r="V7">
        <f t="shared" si="2"/>
        <v>730125</v>
      </c>
      <c r="W7">
        <f t="shared" si="2"/>
        <v>2067567</v>
      </c>
      <c r="X7">
        <f t="shared" si="2"/>
        <v>1226467</v>
      </c>
      <c r="Y7">
        <f t="shared" si="2"/>
        <v>2469806</v>
      </c>
      <c r="Z7">
        <f t="shared" si="2"/>
        <v>1874227</v>
      </c>
      <c r="AA7">
        <f t="shared" si="2"/>
        <v>1972106</v>
      </c>
      <c r="AB7">
        <f t="shared" si="2"/>
        <v>1616074</v>
      </c>
      <c r="AC7">
        <f t="shared" si="2"/>
        <v>3094539</v>
      </c>
      <c r="AD7">
        <f t="shared" si="2"/>
        <v>338310</v>
      </c>
      <c r="AE7">
        <f t="shared" si="2"/>
        <v>1501414</v>
      </c>
      <c r="AF7">
        <f t="shared" si="2"/>
        <v>4136473</v>
      </c>
      <c r="AG7">
        <f t="shared" si="2"/>
        <v>700680</v>
      </c>
      <c r="AH7">
        <f t="shared" si="2"/>
        <v>2301963</v>
      </c>
      <c r="AI7">
        <f t="shared" si="2"/>
        <v>1529259</v>
      </c>
      <c r="AJ7">
        <f t="shared" si="2"/>
        <v>2787562</v>
      </c>
      <c r="AK7">
        <f t="shared" si="2"/>
        <v>3065998</v>
      </c>
      <c r="AL7">
        <f t="shared" si="2"/>
        <v>1635064</v>
      </c>
      <c r="AM7">
        <f t="shared" si="2"/>
        <v>1078456</v>
      </c>
      <c r="AN7">
        <f t="shared" si="2"/>
        <v>3173503</v>
      </c>
      <c r="AO7">
        <f t="shared" si="2"/>
        <v>1629184</v>
      </c>
      <c r="AP7">
        <f t="shared" si="2"/>
        <v>205140</v>
      </c>
      <c r="AQ7">
        <f t="shared" si="2"/>
        <v>203627</v>
      </c>
      <c r="AR7">
        <f t="shared" si="2"/>
        <v>2275641</v>
      </c>
    </row>
    <row r="8" spans="1:44" ht="17" x14ac:dyDescent="0.25">
      <c r="B8" s="1" t="s">
        <v>0</v>
      </c>
      <c r="C8">
        <v>2859415</v>
      </c>
      <c r="D8" t="s">
        <v>1</v>
      </c>
      <c r="E8">
        <v>1555438</v>
      </c>
      <c r="F8" t="s">
        <v>2</v>
      </c>
      <c r="G8">
        <v>3340990</v>
      </c>
      <c r="H8" t="s">
        <v>1</v>
      </c>
      <c r="I8">
        <v>2451747</v>
      </c>
      <c r="J8">
        <f t="shared" si="3"/>
        <v>1377884</v>
      </c>
      <c r="K8" s="2">
        <f t="shared" si="0"/>
        <v>444562</v>
      </c>
      <c r="L8" s="2">
        <f t="shared" si="4"/>
        <v>933322</v>
      </c>
      <c r="M8" s="2">
        <f t="shared" si="5"/>
        <v>1926093</v>
      </c>
      <c r="N8" s="2">
        <f t="shared" si="6"/>
        <v>3792737</v>
      </c>
      <c r="O8" s="2">
        <f t="shared" si="1"/>
        <v>1866645</v>
      </c>
      <c r="Q8">
        <f t="shared" si="7"/>
        <v>767923</v>
      </c>
      <c r="R8">
        <f t="shared" si="2"/>
        <v>5163168</v>
      </c>
      <c r="S8">
        <f t="shared" si="2"/>
        <v>2335800</v>
      </c>
      <c r="T8">
        <f t="shared" si="2"/>
        <v>1662671</v>
      </c>
      <c r="U8">
        <f t="shared" si="2"/>
        <v>1377884</v>
      </c>
      <c r="V8">
        <f t="shared" si="2"/>
        <v>2722400</v>
      </c>
      <c r="W8">
        <f t="shared" si="2"/>
        <v>3058198</v>
      </c>
      <c r="X8">
        <f t="shared" si="2"/>
        <v>1091446</v>
      </c>
      <c r="Y8">
        <f t="shared" si="2"/>
        <v>4571591</v>
      </c>
      <c r="Z8">
        <f t="shared" si="2"/>
        <v>1646136</v>
      </c>
      <c r="AA8">
        <f t="shared" si="2"/>
        <v>4073891</v>
      </c>
      <c r="AB8">
        <f t="shared" si="2"/>
        <v>2217945</v>
      </c>
      <c r="AC8">
        <f t="shared" si="2"/>
        <v>4292830</v>
      </c>
      <c r="AD8">
        <f t="shared" si="2"/>
        <v>1972325</v>
      </c>
      <c r="AE8">
        <f t="shared" si="2"/>
        <v>3603199</v>
      </c>
      <c r="AF8">
        <f t="shared" si="2"/>
        <v>2034688</v>
      </c>
      <c r="AG8">
        <f t="shared" si="2"/>
        <v>1976223</v>
      </c>
      <c r="AH8">
        <f t="shared" si="2"/>
        <v>2194724</v>
      </c>
      <c r="AI8">
        <f t="shared" si="2"/>
        <v>3631044</v>
      </c>
      <c r="AJ8">
        <f t="shared" si="2"/>
        <v>2932557</v>
      </c>
      <c r="AK8">
        <f t="shared" si="2"/>
        <v>1699859</v>
      </c>
      <c r="AL8">
        <f t="shared" si="2"/>
        <v>2191589</v>
      </c>
      <c r="AM8">
        <f t="shared" si="2"/>
        <v>2276747</v>
      </c>
      <c r="AN8">
        <f t="shared" si="2"/>
        <v>1975212</v>
      </c>
      <c r="AO8">
        <f t="shared" si="2"/>
        <v>2172663</v>
      </c>
      <c r="AP8">
        <f t="shared" si="2"/>
        <v>1896645</v>
      </c>
      <c r="AQ8">
        <f t="shared" si="2"/>
        <v>2151922</v>
      </c>
      <c r="AR8">
        <f t="shared" si="2"/>
        <v>4377426</v>
      </c>
    </row>
    <row r="9" spans="1:44" ht="17" x14ac:dyDescent="0.25">
      <c r="B9" s="1" t="s">
        <v>0</v>
      </c>
      <c r="C9">
        <v>1015582</v>
      </c>
      <c r="D9" t="s">
        <v>1</v>
      </c>
      <c r="E9">
        <v>2054755</v>
      </c>
      <c r="F9" t="s">
        <v>2</v>
      </c>
      <c r="G9">
        <v>1690952</v>
      </c>
      <c r="H9" t="s">
        <v>1</v>
      </c>
      <c r="I9">
        <v>2000000</v>
      </c>
      <c r="J9">
        <f t="shared" si="3"/>
        <v>730125</v>
      </c>
      <c r="K9" s="2">
        <f t="shared" si="0"/>
        <v>54755</v>
      </c>
      <c r="L9" s="2">
        <f t="shared" si="4"/>
        <v>675370</v>
      </c>
      <c r="M9" s="2">
        <f t="shared" si="5"/>
        <v>340212</v>
      </c>
      <c r="N9" s="2">
        <f t="shared" si="6"/>
        <v>1690952</v>
      </c>
      <c r="O9" s="2">
        <f t="shared" si="1"/>
        <v>1350741</v>
      </c>
      <c r="Q9">
        <f t="shared" si="7"/>
        <v>2364302</v>
      </c>
      <c r="R9">
        <f t="shared" si="2"/>
        <v>3061383</v>
      </c>
      <c r="S9">
        <f t="shared" si="2"/>
        <v>1635999</v>
      </c>
      <c r="T9">
        <f t="shared" si="2"/>
        <v>439114</v>
      </c>
      <c r="U9">
        <f t="shared" si="2"/>
        <v>1613025</v>
      </c>
      <c r="V9">
        <f t="shared" si="2"/>
        <v>730125</v>
      </c>
      <c r="W9">
        <f t="shared" si="2"/>
        <v>2067567</v>
      </c>
      <c r="X9">
        <f t="shared" si="2"/>
        <v>1226467</v>
      </c>
      <c r="Y9">
        <f t="shared" si="2"/>
        <v>2469806</v>
      </c>
      <c r="Z9">
        <f t="shared" si="2"/>
        <v>1874227</v>
      </c>
      <c r="AA9">
        <f t="shared" si="2"/>
        <v>1972106</v>
      </c>
      <c r="AB9">
        <f t="shared" si="2"/>
        <v>1616074</v>
      </c>
      <c r="AC9">
        <f t="shared" si="2"/>
        <v>3094539</v>
      </c>
      <c r="AD9">
        <f t="shared" si="2"/>
        <v>338310</v>
      </c>
      <c r="AE9">
        <f t="shared" si="2"/>
        <v>1501414</v>
      </c>
      <c r="AF9">
        <f t="shared" si="2"/>
        <v>4136473</v>
      </c>
      <c r="AG9">
        <f t="shared" si="2"/>
        <v>700680</v>
      </c>
      <c r="AH9">
        <f t="shared" si="2"/>
        <v>2301963</v>
      </c>
      <c r="AI9">
        <f t="shared" si="2"/>
        <v>1529259</v>
      </c>
      <c r="AJ9">
        <f t="shared" si="2"/>
        <v>2787562</v>
      </c>
      <c r="AK9">
        <f t="shared" si="2"/>
        <v>3065998</v>
      </c>
      <c r="AL9">
        <f t="shared" si="2"/>
        <v>1635064</v>
      </c>
      <c r="AM9">
        <f t="shared" si="2"/>
        <v>1078456</v>
      </c>
      <c r="AN9">
        <f t="shared" si="2"/>
        <v>3173503</v>
      </c>
      <c r="AO9">
        <f t="shared" si="2"/>
        <v>1629184</v>
      </c>
      <c r="AP9">
        <f t="shared" si="2"/>
        <v>205140</v>
      </c>
      <c r="AQ9">
        <f t="shared" si="2"/>
        <v>203627</v>
      </c>
      <c r="AR9">
        <f t="shared" si="2"/>
        <v>2275641</v>
      </c>
    </row>
    <row r="10" spans="1:44" s="2" customFormat="1" ht="17" x14ac:dyDescent="0.25">
      <c r="B10" s="1" t="s">
        <v>0</v>
      </c>
      <c r="C10">
        <v>1794782</v>
      </c>
      <c r="D10" t="s">
        <v>1</v>
      </c>
      <c r="E10">
        <v>3963737</v>
      </c>
      <c r="F10" t="s">
        <v>2</v>
      </c>
      <c r="G10">
        <v>2183727</v>
      </c>
      <c r="H10" t="s">
        <v>1</v>
      </c>
      <c r="I10">
        <v>4148084</v>
      </c>
      <c r="J10" s="2">
        <f t="shared" si="3"/>
        <v>573292</v>
      </c>
      <c r="K10" s="2" t="str">
        <f t="shared" ref="K10:K16" si="8">IF(ABS($K$1-E10)-J10&lt;0,ABS($K$1-E10),"")</f>
        <v/>
      </c>
      <c r="L10" s="2" t="str">
        <f t="shared" si="4"/>
        <v/>
      </c>
      <c r="M10" s="2">
        <f t="shared" si="5"/>
        <v>0</v>
      </c>
      <c r="N10" s="2">
        <f t="shared" si="6"/>
        <v>0</v>
      </c>
      <c r="O10" s="2">
        <f t="shared" ref="O10:O16" si="9">IF(K10&lt;&gt;"",N10-M10+1,0)</f>
        <v>0</v>
      </c>
      <c r="Q10" s="2">
        <f t="shared" si="7"/>
        <v>2085677</v>
      </c>
      <c r="R10" s="2">
        <f t="shared" si="2"/>
        <v>5702242</v>
      </c>
      <c r="S10" s="2">
        <f t="shared" si="2"/>
        <v>1004860</v>
      </c>
      <c r="T10" s="2">
        <f t="shared" si="2"/>
        <v>2201745</v>
      </c>
      <c r="U10" s="2">
        <f t="shared" si="2"/>
        <v>3268334</v>
      </c>
      <c r="V10" s="2">
        <f t="shared" si="2"/>
        <v>3261474</v>
      </c>
      <c r="W10" s="2">
        <f t="shared" si="2"/>
        <v>573292</v>
      </c>
      <c r="X10" s="2">
        <f t="shared" si="2"/>
        <v>1762154</v>
      </c>
      <c r="Y10" s="2">
        <f t="shared" si="2"/>
        <v>5110665</v>
      </c>
      <c r="Z10" s="2">
        <f t="shared" si="2"/>
        <v>1207464</v>
      </c>
      <c r="AA10" s="2">
        <f t="shared" si="2"/>
        <v>4612965</v>
      </c>
      <c r="AB10" s="2">
        <f t="shared" si="2"/>
        <v>1024785</v>
      </c>
      <c r="AC10" s="2">
        <f t="shared" si="2"/>
        <v>2593448</v>
      </c>
      <c r="AD10" s="2">
        <f t="shared" si="2"/>
        <v>2511399</v>
      </c>
      <c r="AE10" s="2">
        <f t="shared" si="2"/>
        <v>4142273</v>
      </c>
      <c r="AF10" s="2">
        <f t="shared" si="2"/>
        <v>2076384</v>
      </c>
      <c r="AG10" s="2">
        <f t="shared" si="2"/>
        <v>2515297</v>
      </c>
      <c r="AH10" s="2">
        <f t="shared" si="2"/>
        <v>658876</v>
      </c>
      <c r="AI10" s="2">
        <f t="shared" si="2"/>
        <v>4170118</v>
      </c>
      <c r="AJ10" s="2">
        <f t="shared" si="2"/>
        <v>4442871</v>
      </c>
      <c r="AK10" s="2">
        <f t="shared" si="2"/>
        <v>1153741</v>
      </c>
      <c r="AL10" s="2">
        <f t="shared" si="2"/>
        <v>1005795</v>
      </c>
      <c r="AM10" s="2">
        <f t="shared" si="2"/>
        <v>1739859</v>
      </c>
      <c r="AN10" s="2">
        <f t="shared" si="2"/>
        <v>4828812</v>
      </c>
      <c r="AO10" s="2">
        <f t="shared" si="2"/>
        <v>1011675</v>
      </c>
      <c r="AP10" s="2">
        <f t="shared" si="2"/>
        <v>2435719</v>
      </c>
      <c r="AQ10" s="2">
        <f t="shared" si="2"/>
        <v>2690996</v>
      </c>
      <c r="AR10" s="2">
        <f t="shared" si="2"/>
        <v>4916500</v>
      </c>
    </row>
    <row r="11" spans="1:44" ht="17" x14ac:dyDescent="0.25">
      <c r="B11" s="1" t="s">
        <v>0</v>
      </c>
      <c r="C11">
        <v>2357608</v>
      </c>
      <c r="D11" t="s">
        <v>1</v>
      </c>
      <c r="E11">
        <v>2559811</v>
      </c>
      <c r="F11" t="s">
        <v>2</v>
      </c>
      <c r="G11">
        <v>2010485</v>
      </c>
      <c r="H11" t="s">
        <v>1</v>
      </c>
      <c r="I11">
        <v>3291030</v>
      </c>
      <c r="J11">
        <f t="shared" si="3"/>
        <v>1078342</v>
      </c>
      <c r="K11" s="2">
        <f t="shared" si="8"/>
        <v>559811</v>
      </c>
      <c r="L11" s="2">
        <f t="shared" si="4"/>
        <v>518531</v>
      </c>
      <c r="M11" s="2">
        <f t="shared" si="5"/>
        <v>1839077</v>
      </c>
      <c r="N11" s="2">
        <f t="shared" si="6"/>
        <v>2876139</v>
      </c>
      <c r="O11" s="2">
        <f t="shared" si="9"/>
        <v>1037063</v>
      </c>
      <c r="Q11">
        <f t="shared" si="7"/>
        <v>1401865</v>
      </c>
      <c r="R11">
        <f t="shared" si="2"/>
        <v>4671946</v>
      </c>
      <c r="S11">
        <f t="shared" si="2"/>
        <v>166012</v>
      </c>
      <c r="T11">
        <f t="shared" si="2"/>
        <v>1171449</v>
      </c>
      <c r="U11">
        <f t="shared" si="2"/>
        <v>2584522</v>
      </c>
      <c r="V11">
        <f t="shared" si="2"/>
        <v>2231178</v>
      </c>
      <c r="W11">
        <f t="shared" si="2"/>
        <v>888410</v>
      </c>
      <c r="X11">
        <f t="shared" si="2"/>
        <v>1078342</v>
      </c>
      <c r="Y11">
        <f t="shared" si="2"/>
        <v>4080369</v>
      </c>
      <c r="Z11">
        <f t="shared" si="2"/>
        <v>523652</v>
      </c>
      <c r="AA11">
        <f t="shared" si="2"/>
        <v>3582669</v>
      </c>
      <c r="AB11">
        <f t="shared" si="2"/>
        <v>48157</v>
      </c>
      <c r="AC11">
        <f t="shared" si="2"/>
        <v>2123042</v>
      </c>
      <c r="AD11">
        <f t="shared" si="2"/>
        <v>1481103</v>
      </c>
      <c r="AE11">
        <f t="shared" si="2"/>
        <v>3111977</v>
      </c>
      <c r="AF11">
        <f t="shared" si="2"/>
        <v>2525910</v>
      </c>
      <c r="AG11">
        <f t="shared" si="2"/>
        <v>1485001</v>
      </c>
      <c r="AH11">
        <f t="shared" si="2"/>
        <v>691400</v>
      </c>
      <c r="AI11">
        <f t="shared" si="2"/>
        <v>3139822</v>
      </c>
      <c r="AJ11">
        <f t="shared" si="2"/>
        <v>3759059</v>
      </c>
      <c r="AK11">
        <f t="shared" si="2"/>
        <v>1455435</v>
      </c>
      <c r="AL11">
        <f t="shared" si="2"/>
        <v>24501</v>
      </c>
      <c r="AM11">
        <f t="shared" si="2"/>
        <v>709563</v>
      </c>
      <c r="AN11">
        <f t="shared" si="2"/>
        <v>4145000</v>
      </c>
      <c r="AO11">
        <f t="shared" si="2"/>
        <v>18621</v>
      </c>
      <c r="AP11">
        <f t="shared" si="2"/>
        <v>1405423</v>
      </c>
      <c r="AQ11">
        <f t="shared" si="2"/>
        <v>1660700</v>
      </c>
      <c r="AR11">
        <f t="shared" si="2"/>
        <v>3886204</v>
      </c>
    </row>
    <row r="12" spans="1:44" ht="17" x14ac:dyDescent="0.25">
      <c r="B12" s="1" t="s">
        <v>0</v>
      </c>
      <c r="C12">
        <v>2936</v>
      </c>
      <c r="D12" t="s">
        <v>1</v>
      </c>
      <c r="E12">
        <v>1218210</v>
      </c>
      <c r="F12" t="s">
        <v>2</v>
      </c>
      <c r="G12">
        <v>20077</v>
      </c>
      <c r="H12" t="s">
        <v>1</v>
      </c>
      <c r="I12">
        <v>1235084</v>
      </c>
      <c r="J12">
        <f t="shared" si="3"/>
        <v>34015</v>
      </c>
      <c r="K12" s="2" t="str">
        <f t="shared" si="8"/>
        <v/>
      </c>
      <c r="L12" s="2" t="str">
        <f t="shared" si="4"/>
        <v/>
      </c>
      <c r="M12" s="2">
        <f t="shared" si="5"/>
        <v>0</v>
      </c>
      <c r="N12" s="2">
        <f t="shared" si="6"/>
        <v>0</v>
      </c>
      <c r="O12" s="2">
        <f t="shared" si="9"/>
        <v>0</v>
      </c>
      <c r="Q12">
        <f t="shared" si="7"/>
        <v>4800093</v>
      </c>
      <c r="R12">
        <f t="shared" si="2"/>
        <v>1164578</v>
      </c>
      <c r="S12">
        <f t="shared" si="2"/>
        <v>4071790</v>
      </c>
      <c r="T12">
        <f t="shared" si="2"/>
        <v>2874905</v>
      </c>
      <c r="U12">
        <f t="shared" si="2"/>
        <v>3159692</v>
      </c>
      <c r="V12">
        <f t="shared" si="2"/>
        <v>1815176</v>
      </c>
      <c r="W12">
        <f t="shared" si="2"/>
        <v>4503358</v>
      </c>
      <c r="X12">
        <f t="shared" si="2"/>
        <v>3662258</v>
      </c>
      <c r="Y12">
        <f t="shared" si="2"/>
        <v>34015</v>
      </c>
      <c r="Z12">
        <f t="shared" si="2"/>
        <v>4310018</v>
      </c>
      <c r="AA12">
        <f t="shared" si="2"/>
        <v>478795</v>
      </c>
      <c r="AB12">
        <f t="shared" si="2"/>
        <v>4051865</v>
      </c>
      <c r="AC12">
        <f t="shared" si="2"/>
        <v>2483202</v>
      </c>
      <c r="AD12">
        <f t="shared" si="2"/>
        <v>2565251</v>
      </c>
      <c r="AE12">
        <f t="shared" si="2"/>
        <v>934377</v>
      </c>
      <c r="AF12">
        <f t="shared" si="2"/>
        <v>6572264</v>
      </c>
      <c r="AG12">
        <f t="shared" si="2"/>
        <v>2561353</v>
      </c>
      <c r="AH12">
        <f t="shared" si="2"/>
        <v>4737754</v>
      </c>
      <c r="AI12">
        <f t="shared" si="2"/>
        <v>2000162</v>
      </c>
      <c r="AJ12">
        <f t="shared" si="2"/>
        <v>3693521</v>
      </c>
      <c r="AK12">
        <f t="shared" si="2"/>
        <v>5501789</v>
      </c>
      <c r="AL12">
        <f t="shared" si="2"/>
        <v>4070855</v>
      </c>
      <c r="AM12">
        <f t="shared" si="2"/>
        <v>3336791</v>
      </c>
      <c r="AN12">
        <f t="shared" si="2"/>
        <v>4079462</v>
      </c>
      <c r="AO12">
        <f t="shared" si="2"/>
        <v>4064975</v>
      </c>
      <c r="AP12">
        <f t="shared" si="2"/>
        <v>2640931</v>
      </c>
      <c r="AQ12">
        <f t="shared" si="2"/>
        <v>2385654</v>
      </c>
      <c r="AR12">
        <f t="shared" si="2"/>
        <v>321268</v>
      </c>
    </row>
    <row r="13" spans="1:44" ht="17" x14ac:dyDescent="0.25">
      <c r="B13" s="1" t="s">
        <v>0</v>
      </c>
      <c r="C13">
        <v>2404143</v>
      </c>
      <c r="D13" t="s">
        <v>1</v>
      </c>
      <c r="E13">
        <v>3161036</v>
      </c>
      <c r="F13" t="s">
        <v>2</v>
      </c>
      <c r="G13">
        <v>2010485</v>
      </c>
      <c r="H13" t="s">
        <v>1</v>
      </c>
      <c r="I13">
        <v>3291030</v>
      </c>
      <c r="J13">
        <f t="shared" si="3"/>
        <v>523652</v>
      </c>
      <c r="K13" s="2" t="str">
        <f t="shared" si="8"/>
        <v/>
      </c>
      <c r="L13" s="2" t="str">
        <f t="shared" si="4"/>
        <v/>
      </c>
      <c r="M13" s="2">
        <f t="shared" si="5"/>
        <v>0</v>
      </c>
      <c r="N13" s="2">
        <f t="shared" si="6"/>
        <v>0</v>
      </c>
      <c r="O13" s="2">
        <f t="shared" si="9"/>
        <v>0</v>
      </c>
      <c r="Q13">
        <f t="shared" si="7"/>
        <v>1401865</v>
      </c>
      <c r="R13">
        <f t="shared" si="2"/>
        <v>4671946</v>
      </c>
      <c r="S13">
        <f t="shared" si="2"/>
        <v>166012</v>
      </c>
      <c r="T13">
        <f t="shared" si="2"/>
        <v>1171449</v>
      </c>
      <c r="U13">
        <f t="shared" si="2"/>
        <v>2584522</v>
      </c>
      <c r="V13">
        <f t="shared" si="2"/>
        <v>2231178</v>
      </c>
      <c r="W13">
        <f t="shared" si="2"/>
        <v>888410</v>
      </c>
      <c r="X13">
        <f t="shared" si="2"/>
        <v>1078342</v>
      </c>
      <c r="Y13">
        <f t="shared" si="2"/>
        <v>4080369</v>
      </c>
      <c r="Z13">
        <f t="shared" si="2"/>
        <v>523652</v>
      </c>
      <c r="AA13">
        <f t="shared" si="2"/>
        <v>3582669</v>
      </c>
      <c r="AB13">
        <f t="shared" si="2"/>
        <v>48157</v>
      </c>
      <c r="AC13">
        <f t="shared" si="2"/>
        <v>2123042</v>
      </c>
      <c r="AD13">
        <f t="shared" si="2"/>
        <v>1481103</v>
      </c>
      <c r="AE13">
        <f t="shared" si="2"/>
        <v>3111977</v>
      </c>
      <c r="AF13">
        <f t="shared" si="2"/>
        <v>2525910</v>
      </c>
      <c r="AG13">
        <f t="shared" si="2"/>
        <v>1485001</v>
      </c>
      <c r="AH13">
        <f t="shared" si="2"/>
        <v>691400</v>
      </c>
      <c r="AI13">
        <f t="shared" si="2"/>
        <v>3139822</v>
      </c>
      <c r="AJ13">
        <f t="shared" si="2"/>
        <v>3759059</v>
      </c>
      <c r="AK13">
        <f t="shared" si="2"/>
        <v>1455435</v>
      </c>
      <c r="AL13">
        <f t="shared" si="2"/>
        <v>24501</v>
      </c>
      <c r="AM13">
        <f t="shared" si="2"/>
        <v>709563</v>
      </c>
      <c r="AN13">
        <f t="shared" si="2"/>
        <v>4145000</v>
      </c>
      <c r="AO13">
        <f t="shared" si="2"/>
        <v>18621</v>
      </c>
      <c r="AP13">
        <f t="shared" si="2"/>
        <v>1405423</v>
      </c>
      <c r="AQ13">
        <f t="shared" si="2"/>
        <v>1660700</v>
      </c>
      <c r="AR13">
        <f t="shared" si="2"/>
        <v>3886204</v>
      </c>
    </row>
    <row r="14" spans="1:44" ht="17" x14ac:dyDescent="0.25">
      <c r="B14" s="1" t="s">
        <v>0</v>
      </c>
      <c r="C14">
        <v>12522</v>
      </c>
      <c r="D14" t="s">
        <v>1</v>
      </c>
      <c r="E14">
        <v>1706324</v>
      </c>
      <c r="F14" t="s">
        <v>2</v>
      </c>
      <c r="G14">
        <v>20077</v>
      </c>
      <c r="H14" t="s">
        <v>1</v>
      </c>
      <c r="I14">
        <v>1235084</v>
      </c>
      <c r="J14">
        <f t="shared" si="3"/>
        <v>478795</v>
      </c>
      <c r="K14" s="2">
        <f t="shared" si="8"/>
        <v>293676</v>
      </c>
      <c r="L14" s="2">
        <f t="shared" si="4"/>
        <v>185119</v>
      </c>
      <c r="M14" s="2">
        <f t="shared" si="5"/>
        <v>-172597</v>
      </c>
      <c r="N14" s="2">
        <f t="shared" si="6"/>
        <v>197641</v>
      </c>
      <c r="O14" s="2">
        <f t="shared" si="9"/>
        <v>370239</v>
      </c>
      <c r="Q14">
        <f t="shared" si="7"/>
        <v>4800093</v>
      </c>
      <c r="R14">
        <f t="shared" si="7"/>
        <v>1164578</v>
      </c>
      <c r="S14">
        <f t="shared" si="7"/>
        <v>4071790</v>
      </c>
      <c r="T14">
        <f t="shared" si="7"/>
        <v>2874905</v>
      </c>
      <c r="U14">
        <f t="shared" si="7"/>
        <v>3159692</v>
      </c>
      <c r="V14">
        <f t="shared" si="7"/>
        <v>1815176</v>
      </c>
      <c r="W14">
        <f t="shared" si="7"/>
        <v>4503358</v>
      </c>
      <c r="X14">
        <f t="shared" si="7"/>
        <v>3662258</v>
      </c>
      <c r="Y14">
        <f t="shared" si="7"/>
        <v>34015</v>
      </c>
      <c r="Z14">
        <f t="shared" si="7"/>
        <v>4310018</v>
      </c>
      <c r="AA14">
        <f t="shared" si="7"/>
        <v>478795</v>
      </c>
      <c r="AB14">
        <f t="shared" si="7"/>
        <v>4051865</v>
      </c>
      <c r="AC14">
        <f t="shared" si="7"/>
        <v>2483202</v>
      </c>
      <c r="AD14">
        <f t="shared" si="7"/>
        <v>2565251</v>
      </c>
      <c r="AE14">
        <f t="shared" si="7"/>
        <v>934377</v>
      </c>
      <c r="AF14">
        <f t="shared" si="7"/>
        <v>6572264</v>
      </c>
      <c r="AG14">
        <f t="shared" ref="AG14:AR23" si="10">ABS($G14-AG$2)+ABS($I14-AG$3)</f>
        <v>2561353</v>
      </c>
      <c r="AH14">
        <f t="shared" si="10"/>
        <v>4737754</v>
      </c>
      <c r="AI14">
        <f t="shared" si="10"/>
        <v>2000162</v>
      </c>
      <c r="AJ14">
        <f t="shared" si="10"/>
        <v>3693521</v>
      </c>
      <c r="AK14">
        <f t="shared" si="10"/>
        <v>5501789</v>
      </c>
      <c r="AL14">
        <f t="shared" si="10"/>
        <v>4070855</v>
      </c>
      <c r="AM14">
        <f t="shared" si="10"/>
        <v>3336791</v>
      </c>
      <c r="AN14">
        <f t="shared" si="10"/>
        <v>4079462</v>
      </c>
      <c r="AO14">
        <f t="shared" si="10"/>
        <v>4064975</v>
      </c>
      <c r="AP14">
        <f t="shared" si="10"/>
        <v>2640931</v>
      </c>
      <c r="AQ14">
        <f t="shared" si="10"/>
        <v>2385654</v>
      </c>
      <c r="AR14">
        <f t="shared" si="10"/>
        <v>321268</v>
      </c>
    </row>
    <row r="15" spans="1:44" ht="17" x14ac:dyDescent="0.25">
      <c r="B15" s="1" t="s">
        <v>0</v>
      </c>
      <c r="C15">
        <v>1989162</v>
      </c>
      <c r="D15" t="s">
        <v>1</v>
      </c>
      <c r="E15">
        <v>3317864</v>
      </c>
      <c r="F15" t="s">
        <v>2</v>
      </c>
      <c r="G15">
        <v>2010485</v>
      </c>
      <c r="H15" t="s">
        <v>1</v>
      </c>
      <c r="I15">
        <v>3291030</v>
      </c>
      <c r="J15">
        <f t="shared" si="3"/>
        <v>48157</v>
      </c>
      <c r="K15" s="2" t="str">
        <f t="shared" si="8"/>
        <v/>
      </c>
      <c r="L15" s="2" t="str">
        <f t="shared" si="4"/>
        <v/>
      </c>
      <c r="M15" s="2">
        <f t="shared" si="5"/>
        <v>0</v>
      </c>
      <c r="N15" s="2">
        <f t="shared" si="6"/>
        <v>0</v>
      </c>
      <c r="O15" s="2">
        <f t="shared" si="9"/>
        <v>0</v>
      </c>
      <c r="Q15">
        <f t="shared" si="7"/>
        <v>1401865</v>
      </c>
      <c r="R15">
        <f t="shared" si="7"/>
        <v>4671946</v>
      </c>
      <c r="S15">
        <f t="shared" si="7"/>
        <v>166012</v>
      </c>
      <c r="T15">
        <f t="shared" si="7"/>
        <v>1171449</v>
      </c>
      <c r="U15">
        <f t="shared" si="7"/>
        <v>2584522</v>
      </c>
      <c r="V15">
        <f t="shared" si="7"/>
        <v>2231178</v>
      </c>
      <c r="W15">
        <f t="shared" si="7"/>
        <v>888410</v>
      </c>
      <c r="X15">
        <f t="shared" si="7"/>
        <v>1078342</v>
      </c>
      <c r="Y15">
        <f t="shared" si="7"/>
        <v>4080369</v>
      </c>
      <c r="Z15">
        <f t="shared" si="7"/>
        <v>523652</v>
      </c>
      <c r="AA15">
        <f t="shared" si="7"/>
        <v>3582669</v>
      </c>
      <c r="AB15">
        <f t="shared" si="7"/>
        <v>48157</v>
      </c>
      <c r="AC15">
        <f t="shared" si="7"/>
        <v>2123042</v>
      </c>
      <c r="AD15">
        <f t="shared" si="7"/>
        <v>1481103</v>
      </c>
      <c r="AE15">
        <f t="shared" si="7"/>
        <v>3111977</v>
      </c>
      <c r="AF15">
        <f t="shared" si="7"/>
        <v>2525910</v>
      </c>
      <c r="AG15">
        <f t="shared" si="10"/>
        <v>1485001</v>
      </c>
      <c r="AH15">
        <f t="shared" si="10"/>
        <v>691400</v>
      </c>
      <c r="AI15">
        <f t="shared" si="10"/>
        <v>3139822</v>
      </c>
      <c r="AJ15">
        <f t="shared" si="10"/>
        <v>3759059</v>
      </c>
      <c r="AK15">
        <f t="shared" si="10"/>
        <v>1455435</v>
      </c>
      <c r="AL15">
        <f t="shared" si="10"/>
        <v>24501</v>
      </c>
      <c r="AM15">
        <f t="shared" si="10"/>
        <v>709563</v>
      </c>
      <c r="AN15">
        <f t="shared" si="10"/>
        <v>4145000</v>
      </c>
      <c r="AO15">
        <f t="shared" si="10"/>
        <v>18621</v>
      </c>
      <c r="AP15">
        <f t="shared" si="10"/>
        <v>1405423</v>
      </c>
      <c r="AQ15">
        <f t="shared" si="10"/>
        <v>1660700</v>
      </c>
      <c r="AR15">
        <f t="shared" si="10"/>
        <v>3886204</v>
      </c>
    </row>
    <row r="16" spans="1:44" ht="17" x14ac:dyDescent="0.25">
      <c r="B16" s="1" t="s">
        <v>0</v>
      </c>
      <c r="C16">
        <v>167388</v>
      </c>
      <c r="D16" t="s">
        <v>1</v>
      </c>
      <c r="E16">
        <v>3570975</v>
      </c>
      <c r="F16" t="s">
        <v>2</v>
      </c>
      <c r="G16">
        <v>-1018858</v>
      </c>
      <c r="H16" t="s">
        <v>1</v>
      </c>
      <c r="I16">
        <v>4296788</v>
      </c>
      <c r="J16">
        <f t="shared" si="3"/>
        <v>1912059</v>
      </c>
      <c r="K16" s="2">
        <f t="shared" si="8"/>
        <v>1570975</v>
      </c>
      <c r="L16" s="2">
        <f t="shared" si="4"/>
        <v>341084</v>
      </c>
      <c r="M16" s="2">
        <f t="shared" si="5"/>
        <v>-173696</v>
      </c>
      <c r="N16" s="2">
        <f t="shared" si="6"/>
        <v>508472</v>
      </c>
      <c r="O16" s="2">
        <f t="shared" si="9"/>
        <v>682169</v>
      </c>
      <c r="Q16">
        <f t="shared" si="7"/>
        <v>5436966</v>
      </c>
      <c r="R16">
        <f t="shared" si="7"/>
        <v>5265217</v>
      </c>
      <c r="S16">
        <f t="shared" si="7"/>
        <v>3869089</v>
      </c>
      <c r="T16">
        <f t="shared" si="7"/>
        <v>5144290</v>
      </c>
      <c r="U16">
        <f t="shared" si="7"/>
        <v>6619623</v>
      </c>
      <c r="V16">
        <f t="shared" si="7"/>
        <v>4276473</v>
      </c>
      <c r="W16">
        <f t="shared" si="7"/>
        <v>3146691</v>
      </c>
      <c r="X16">
        <f t="shared" si="7"/>
        <v>5113443</v>
      </c>
      <c r="Y16">
        <f t="shared" si="7"/>
        <v>4100372</v>
      </c>
      <c r="Z16">
        <f t="shared" si="7"/>
        <v>4558753</v>
      </c>
      <c r="AA16">
        <f t="shared" si="7"/>
        <v>3621844</v>
      </c>
      <c r="AB16">
        <f t="shared" si="7"/>
        <v>3986944</v>
      </c>
      <c r="AC16">
        <f t="shared" si="7"/>
        <v>1912059</v>
      </c>
      <c r="AD16">
        <f t="shared" si="7"/>
        <v>4668288</v>
      </c>
      <c r="AE16">
        <f t="shared" si="7"/>
        <v>4619250</v>
      </c>
      <c r="AF16">
        <f t="shared" si="7"/>
        <v>5427673</v>
      </c>
      <c r="AG16">
        <f t="shared" si="10"/>
        <v>4305918</v>
      </c>
      <c r="AH16">
        <f t="shared" si="10"/>
        <v>4010165</v>
      </c>
      <c r="AI16">
        <f t="shared" si="10"/>
        <v>6100801</v>
      </c>
      <c r="AJ16">
        <f t="shared" si="10"/>
        <v>7794160</v>
      </c>
      <c r="AK16">
        <f t="shared" si="10"/>
        <v>4505030</v>
      </c>
      <c r="AL16">
        <f t="shared" si="10"/>
        <v>4013300</v>
      </c>
      <c r="AM16">
        <f t="shared" si="10"/>
        <v>3928142</v>
      </c>
      <c r="AN16">
        <f t="shared" si="10"/>
        <v>8180101</v>
      </c>
      <c r="AO16">
        <f t="shared" si="10"/>
        <v>4032226</v>
      </c>
      <c r="AP16">
        <f t="shared" si="10"/>
        <v>5043364</v>
      </c>
      <c r="AQ16">
        <f t="shared" si="10"/>
        <v>5210225</v>
      </c>
      <c r="AR16">
        <f t="shared" si="10"/>
        <v>4421907</v>
      </c>
    </row>
    <row r="17" spans="2:44" ht="17" x14ac:dyDescent="0.25">
      <c r="B17" s="1" t="s">
        <v>0</v>
      </c>
      <c r="C17">
        <v>1586527</v>
      </c>
      <c r="D17" t="s">
        <v>1</v>
      </c>
      <c r="E17">
        <v>2233885</v>
      </c>
      <c r="F17" t="s">
        <v>2</v>
      </c>
      <c r="G17">
        <v>1690952</v>
      </c>
      <c r="H17" t="s">
        <v>1</v>
      </c>
      <c r="I17">
        <v>2000000</v>
      </c>
      <c r="J17">
        <f t="shared" si="3"/>
        <v>338310</v>
      </c>
      <c r="K17" s="2">
        <f t="shared" ref="K17:K31" si="11">IF(ABS($K$1-E17)-J17&lt;0,ABS($K$1-E17),"")</f>
        <v>233885</v>
      </c>
      <c r="L17" s="2">
        <f t="shared" si="4"/>
        <v>104425</v>
      </c>
      <c r="M17" s="2">
        <f t="shared" si="5"/>
        <v>1482102</v>
      </c>
      <c r="N17" s="2">
        <f t="shared" si="6"/>
        <v>1690952</v>
      </c>
      <c r="O17" s="2">
        <f t="shared" ref="O17:O31" si="12">IF(K17&lt;&gt;"",N17-M17+1,0)</f>
        <v>208851</v>
      </c>
      <c r="Q17">
        <f t="shared" si="7"/>
        <v>2364302</v>
      </c>
      <c r="R17">
        <f t="shared" si="7"/>
        <v>3061383</v>
      </c>
      <c r="S17">
        <f t="shared" si="7"/>
        <v>1635999</v>
      </c>
      <c r="T17">
        <f t="shared" si="7"/>
        <v>439114</v>
      </c>
      <c r="U17">
        <f t="shared" si="7"/>
        <v>1613025</v>
      </c>
      <c r="V17">
        <f t="shared" si="7"/>
        <v>730125</v>
      </c>
      <c r="W17">
        <f t="shared" si="7"/>
        <v>2067567</v>
      </c>
      <c r="X17">
        <f t="shared" si="7"/>
        <v>1226467</v>
      </c>
      <c r="Y17">
        <f t="shared" si="7"/>
        <v>2469806</v>
      </c>
      <c r="Z17">
        <f t="shared" si="7"/>
        <v>1874227</v>
      </c>
      <c r="AA17">
        <f t="shared" si="7"/>
        <v>1972106</v>
      </c>
      <c r="AB17">
        <f t="shared" si="7"/>
        <v>1616074</v>
      </c>
      <c r="AC17">
        <f t="shared" si="7"/>
        <v>3094539</v>
      </c>
      <c r="AD17">
        <f t="shared" si="7"/>
        <v>338310</v>
      </c>
      <c r="AE17">
        <f t="shared" si="7"/>
        <v>1501414</v>
      </c>
      <c r="AF17">
        <f t="shared" si="7"/>
        <v>4136473</v>
      </c>
      <c r="AG17">
        <f t="shared" si="10"/>
        <v>700680</v>
      </c>
      <c r="AH17">
        <f t="shared" si="10"/>
        <v>2301963</v>
      </c>
      <c r="AI17">
        <f t="shared" si="10"/>
        <v>1529259</v>
      </c>
      <c r="AJ17">
        <f t="shared" si="10"/>
        <v>2787562</v>
      </c>
      <c r="AK17">
        <f t="shared" si="10"/>
        <v>3065998</v>
      </c>
      <c r="AL17">
        <f t="shared" si="10"/>
        <v>1635064</v>
      </c>
      <c r="AM17">
        <f t="shared" si="10"/>
        <v>1078456</v>
      </c>
      <c r="AN17">
        <f t="shared" si="10"/>
        <v>3173503</v>
      </c>
      <c r="AO17">
        <f t="shared" si="10"/>
        <v>1629184</v>
      </c>
      <c r="AP17">
        <f t="shared" si="10"/>
        <v>205140</v>
      </c>
      <c r="AQ17">
        <f t="shared" si="10"/>
        <v>203627</v>
      </c>
      <c r="AR17">
        <f t="shared" si="10"/>
        <v>2275641</v>
      </c>
    </row>
    <row r="18" spans="2:44" ht="17" x14ac:dyDescent="0.25">
      <c r="B18" s="1" t="s">
        <v>0</v>
      </c>
      <c r="C18">
        <v>746571</v>
      </c>
      <c r="D18" t="s">
        <v>1</v>
      </c>
      <c r="E18">
        <v>1442967</v>
      </c>
      <c r="F18" t="s">
        <v>2</v>
      </c>
      <c r="G18">
        <v>20077</v>
      </c>
      <c r="H18" t="s">
        <v>1</v>
      </c>
      <c r="I18">
        <v>1235084</v>
      </c>
      <c r="J18">
        <f t="shared" si="3"/>
        <v>934377</v>
      </c>
      <c r="K18" s="2">
        <f t="shared" si="11"/>
        <v>557033</v>
      </c>
      <c r="L18" s="2">
        <f t="shared" si="4"/>
        <v>377344</v>
      </c>
      <c r="M18" s="2">
        <f t="shared" si="5"/>
        <v>369227</v>
      </c>
      <c r="N18" s="2">
        <f t="shared" si="6"/>
        <v>1123915</v>
      </c>
      <c r="O18" s="2">
        <f t="shared" si="12"/>
        <v>754689</v>
      </c>
      <c r="Q18">
        <f t="shared" si="7"/>
        <v>4800093</v>
      </c>
      <c r="R18">
        <f t="shared" si="7"/>
        <v>1164578</v>
      </c>
      <c r="S18">
        <f t="shared" si="7"/>
        <v>4071790</v>
      </c>
      <c r="T18">
        <f t="shared" si="7"/>
        <v>2874905</v>
      </c>
      <c r="U18">
        <f t="shared" si="7"/>
        <v>3159692</v>
      </c>
      <c r="V18">
        <f t="shared" si="7"/>
        <v>1815176</v>
      </c>
      <c r="W18">
        <f t="shared" si="7"/>
        <v>4503358</v>
      </c>
      <c r="X18">
        <f t="shared" si="7"/>
        <v>3662258</v>
      </c>
      <c r="Y18">
        <f t="shared" si="7"/>
        <v>34015</v>
      </c>
      <c r="Z18">
        <f t="shared" si="7"/>
        <v>4310018</v>
      </c>
      <c r="AA18">
        <f t="shared" si="7"/>
        <v>478795</v>
      </c>
      <c r="AB18">
        <f t="shared" si="7"/>
        <v>4051865</v>
      </c>
      <c r="AC18">
        <f t="shared" si="7"/>
        <v>2483202</v>
      </c>
      <c r="AD18">
        <f t="shared" si="7"/>
        <v>2565251</v>
      </c>
      <c r="AE18">
        <f t="shared" si="7"/>
        <v>934377</v>
      </c>
      <c r="AF18">
        <f t="shared" si="7"/>
        <v>6572264</v>
      </c>
      <c r="AG18">
        <f t="shared" si="10"/>
        <v>2561353</v>
      </c>
      <c r="AH18">
        <f t="shared" si="10"/>
        <v>4737754</v>
      </c>
      <c r="AI18">
        <f t="shared" si="10"/>
        <v>2000162</v>
      </c>
      <c r="AJ18">
        <f t="shared" si="10"/>
        <v>3693521</v>
      </c>
      <c r="AK18">
        <f t="shared" si="10"/>
        <v>5501789</v>
      </c>
      <c r="AL18">
        <f t="shared" si="10"/>
        <v>4070855</v>
      </c>
      <c r="AM18">
        <f t="shared" si="10"/>
        <v>3336791</v>
      </c>
      <c r="AN18">
        <f t="shared" si="10"/>
        <v>4079462</v>
      </c>
      <c r="AO18">
        <f t="shared" si="10"/>
        <v>4064975</v>
      </c>
      <c r="AP18">
        <f t="shared" si="10"/>
        <v>2640931</v>
      </c>
      <c r="AQ18">
        <f t="shared" si="10"/>
        <v>2385654</v>
      </c>
      <c r="AR18">
        <f t="shared" si="10"/>
        <v>321268</v>
      </c>
    </row>
    <row r="19" spans="2:44" ht="17" x14ac:dyDescent="0.25">
      <c r="B19" s="1" t="s">
        <v>0</v>
      </c>
      <c r="C19">
        <v>3969726</v>
      </c>
      <c r="D19" t="s">
        <v>1</v>
      </c>
      <c r="E19">
        <v>3857699</v>
      </c>
      <c r="F19" t="s">
        <v>2</v>
      </c>
      <c r="G19">
        <v>3207147</v>
      </c>
      <c r="H19" t="s">
        <v>1</v>
      </c>
      <c r="I19">
        <v>4217920</v>
      </c>
      <c r="J19">
        <f t="shared" si="3"/>
        <v>1122800</v>
      </c>
      <c r="K19" s="2" t="str">
        <f t="shared" si="11"/>
        <v/>
      </c>
      <c r="L19" s="2" t="str">
        <f t="shared" si="4"/>
        <v/>
      </c>
      <c r="M19" s="2">
        <f t="shared" si="5"/>
        <v>0</v>
      </c>
      <c r="N19" s="2">
        <f t="shared" si="6"/>
        <v>0</v>
      </c>
      <c r="O19" s="2">
        <f t="shared" si="12"/>
        <v>0</v>
      </c>
      <c r="Q19">
        <f t="shared" si="7"/>
        <v>1369813</v>
      </c>
      <c r="R19">
        <f t="shared" si="7"/>
        <v>6795498</v>
      </c>
      <c r="S19">
        <f t="shared" si="7"/>
        <v>2098116</v>
      </c>
      <c r="T19">
        <f t="shared" si="7"/>
        <v>3295001</v>
      </c>
      <c r="U19">
        <f t="shared" si="7"/>
        <v>3010214</v>
      </c>
      <c r="V19">
        <f t="shared" si="7"/>
        <v>4354730</v>
      </c>
      <c r="W19">
        <f t="shared" si="7"/>
        <v>1666548</v>
      </c>
      <c r="X19">
        <f t="shared" si="7"/>
        <v>2507648</v>
      </c>
      <c r="Y19">
        <f t="shared" si="7"/>
        <v>6203921</v>
      </c>
      <c r="Z19">
        <f t="shared" si="7"/>
        <v>1859888</v>
      </c>
      <c r="AA19">
        <f t="shared" si="7"/>
        <v>5706221</v>
      </c>
      <c r="AB19">
        <f t="shared" si="7"/>
        <v>2118041</v>
      </c>
      <c r="AC19">
        <f t="shared" si="7"/>
        <v>3686704</v>
      </c>
      <c r="AD19">
        <f t="shared" si="7"/>
        <v>3604655</v>
      </c>
      <c r="AE19">
        <f t="shared" si="7"/>
        <v>5235529</v>
      </c>
      <c r="AF19">
        <f t="shared" si="7"/>
        <v>1122800</v>
      </c>
      <c r="AG19">
        <f t="shared" si="10"/>
        <v>3608553</v>
      </c>
      <c r="AH19">
        <f t="shared" si="10"/>
        <v>1432152</v>
      </c>
      <c r="AI19">
        <f t="shared" si="10"/>
        <v>5263374</v>
      </c>
      <c r="AJ19">
        <f t="shared" si="10"/>
        <v>4564887</v>
      </c>
      <c r="AK19">
        <f t="shared" si="10"/>
        <v>668117</v>
      </c>
      <c r="AL19">
        <f t="shared" si="10"/>
        <v>2099051</v>
      </c>
      <c r="AM19">
        <f t="shared" si="10"/>
        <v>2833115</v>
      </c>
      <c r="AN19">
        <f t="shared" si="10"/>
        <v>3875228</v>
      </c>
      <c r="AO19">
        <f t="shared" si="10"/>
        <v>2104931</v>
      </c>
      <c r="AP19">
        <f t="shared" si="10"/>
        <v>3528975</v>
      </c>
      <c r="AQ19">
        <f t="shared" si="10"/>
        <v>3784252</v>
      </c>
      <c r="AR19">
        <f t="shared" si="10"/>
        <v>6009756</v>
      </c>
    </row>
    <row r="20" spans="2:44" ht="17" x14ac:dyDescent="0.25">
      <c r="B20" s="1" t="s">
        <v>0</v>
      </c>
      <c r="C20">
        <v>1403393</v>
      </c>
      <c r="D20" t="s">
        <v>1</v>
      </c>
      <c r="E20">
        <v>2413121</v>
      </c>
      <c r="F20" t="s">
        <v>2</v>
      </c>
      <c r="G20">
        <v>1690952</v>
      </c>
      <c r="H20" t="s">
        <v>1</v>
      </c>
      <c r="I20">
        <v>2000000</v>
      </c>
      <c r="J20">
        <f t="shared" si="3"/>
        <v>700680</v>
      </c>
      <c r="K20" s="2">
        <f t="shared" si="11"/>
        <v>413121</v>
      </c>
      <c r="L20" s="2">
        <f t="shared" si="4"/>
        <v>287559</v>
      </c>
      <c r="M20" s="2">
        <f t="shared" si="5"/>
        <v>1115834</v>
      </c>
      <c r="N20" s="2">
        <f t="shared" si="6"/>
        <v>1690952</v>
      </c>
      <c r="O20" s="2">
        <f t="shared" si="12"/>
        <v>575119</v>
      </c>
      <c r="Q20">
        <f t="shared" si="7"/>
        <v>2364302</v>
      </c>
      <c r="R20">
        <f t="shared" si="7"/>
        <v>3061383</v>
      </c>
      <c r="S20">
        <f t="shared" si="7"/>
        <v>1635999</v>
      </c>
      <c r="T20">
        <f t="shared" si="7"/>
        <v>439114</v>
      </c>
      <c r="U20">
        <f t="shared" si="7"/>
        <v>1613025</v>
      </c>
      <c r="V20">
        <f t="shared" si="7"/>
        <v>730125</v>
      </c>
      <c r="W20">
        <f t="shared" si="7"/>
        <v>2067567</v>
      </c>
      <c r="X20">
        <f t="shared" si="7"/>
        <v>1226467</v>
      </c>
      <c r="Y20">
        <f t="shared" si="7"/>
        <v>2469806</v>
      </c>
      <c r="Z20">
        <f t="shared" si="7"/>
        <v>1874227</v>
      </c>
      <c r="AA20">
        <f t="shared" si="7"/>
        <v>1972106</v>
      </c>
      <c r="AB20">
        <f t="shared" si="7"/>
        <v>1616074</v>
      </c>
      <c r="AC20">
        <f t="shared" si="7"/>
        <v>3094539</v>
      </c>
      <c r="AD20">
        <f t="shared" si="7"/>
        <v>338310</v>
      </c>
      <c r="AE20">
        <f t="shared" si="7"/>
        <v>1501414</v>
      </c>
      <c r="AF20">
        <f t="shared" si="7"/>
        <v>4136473</v>
      </c>
      <c r="AG20">
        <f t="shared" si="10"/>
        <v>700680</v>
      </c>
      <c r="AH20">
        <f t="shared" si="10"/>
        <v>2301963</v>
      </c>
      <c r="AI20">
        <f t="shared" si="10"/>
        <v>1529259</v>
      </c>
      <c r="AJ20">
        <f t="shared" si="10"/>
        <v>2787562</v>
      </c>
      <c r="AK20">
        <f t="shared" si="10"/>
        <v>3065998</v>
      </c>
      <c r="AL20">
        <f t="shared" si="10"/>
        <v>1635064</v>
      </c>
      <c r="AM20">
        <f t="shared" si="10"/>
        <v>1078456</v>
      </c>
      <c r="AN20">
        <f t="shared" si="10"/>
        <v>3173503</v>
      </c>
      <c r="AO20">
        <f t="shared" si="10"/>
        <v>1629184</v>
      </c>
      <c r="AP20">
        <f t="shared" si="10"/>
        <v>205140</v>
      </c>
      <c r="AQ20">
        <f t="shared" si="10"/>
        <v>203627</v>
      </c>
      <c r="AR20">
        <f t="shared" si="10"/>
        <v>2275641</v>
      </c>
    </row>
    <row r="21" spans="2:44" ht="17" x14ac:dyDescent="0.25">
      <c r="B21" s="1" t="s">
        <v>0</v>
      </c>
      <c r="C21">
        <v>2343717</v>
      </c>
      <c r="D21" t="s">
        <v>1</v>
      </c>
      <c r="E21">
        <v>3649198</v>
      </c>
      <c r="F21" t="s">
        <v>2</v>
      </c>
      <c r="G21">
        <v>2183727</v>
      </c>
      <c r="H21" t="s">
        <v>1</v>
      </c>
      <c r="I21">
        <v>4148084</v>
      </c>
      <c r="J21">
        <f t="shared" si="3"/>
        <v>658876</v>
      </c>
      <c r="K21" s="2" t="str">
        <f t="shared" si="11"/>
        <v/>
      </c>
      <c r="L21" s="2" t="str">
        <f t="shared" si="4"/>
        <v/>
      </c>
      <c r="M21" s="2">
        <f t="shared" si="5"/>
        <v>0</v>
      </c>
      <c r="N21" s="2">
        <f t="shared" si="6"/>
        <v>0</v>
      </c>
      <c r="O21" s="2">
        <f t="shared" si="12"/>
        <v>0</v>
      </c>
      <c r="Q21">
        <f t="shared" si="7"/>
        <v>2085677</v>
      </c>
      <c r="R21">
        <f t="shared" si="7"/>
        <v>5702242</v>
      </c>
      <c r="S21">
        <f t="shared" si="7"/>
        <v>1004860</v>
      </c>
      <c r="T21">
        <f t="shared" si="7"/>
        <v>2201745</v>
      </c>
      <c r="U21">
        <f t="shared" si="7"/>
        <v>3268334</v>
      </c>
      <c r="V21">
        <f t="shared" si="7"/>
        <v>3261474</v>
      </c>
      <c r="W21">
        <f t="shared" si="7"/>
        <v>573292</v>
      </c>
      <c r="X21">
        <f t="shared" si="7"/>
        <v>1762154</v>
      </c>
      <c r="Y21">
        <f t="shared" si="7"/>
        <v>5110665</v>
      </c>
      <c r="Z21">
        <f t="shared" si="7"/>
        <v>1207464</v>
      </c>
      <c r="AA21">
        <f t="shared" si="7"/>
        <v>4612965</v>
      </c>
      <c r="AB21">
        <f t="shared" si="7"/>
        <v>1024785</v>
      </c>
      <c r="AC21">
        <f t="shared" si="7"/>
        <v>2593448</v>
      </c>
      <c r="AD21">
        <f t="shared" si="7"/>
        <v>2511399</v>
      </c>
      <c r="AE21">
        <f t="shared" si="7"/>
        <v>4142273</v>
      </c>
      <c r="AF21">
        <f t="shared" si="7"/>
        <v>2076384</v>
      </c>
      <c r="AG21">
        <f t="shared" si="10"/>
        <v>2515297</v>
      </c>
      <c r="AH21">
        <f t="shared" si="10"/>
        <v>658876</v>
      </c>
      <c r="AI21">
        <f t="shared" si="10"/>
        <v>4170118</v>
      </c>
      <c r="AJ21">
        <f t="shared" si="10"/>
        <v>4442871</v>
      </c>
      <c r="AK21">
        <f t="shared" si="10"/>
        <v>1153741</v>
      </c>
      <c r="AL21">
        <f t="shared" si="10"/>
        <v>1005795</v>
      </c>
      <c r="AM21">
        <f t="shared" si="10"/>
        <v>1739859</v>
      </c>
      <c r="AN21">
        <f t="shared" si="10"/>
        <v>4828812</v>
      </c>
      <c r="AO21">
        <f t="shared" si="10"/>
        <v>1011675</v>
      </c>
      <c r="AP21">
        <f t="shared" si="10"/>
        <v>2435719</v>
      </c>
      <c r="AQ21">
        <f t="shared" si="10"/>
        <v>2690996</v>
      </c>
      <c r="AR21">
        <f t="shared" si="10"/>
        <v>4916500</v>
      </c>
    </row>
    <row r="22" spans="2:44" ht="17" x14ac:dyDescent="0.25">
      <c r="B22" s="1" t="s">
        <v>0</v>
      </c>
      <c r="C22">
        <v>1473424</v>
      </c>
      <c r="D22" t="s">
        <v>1</v>
      </c>
      <c r="E22">
        <v>688269</v>
      </c>
      <c r="F22" t="s">
        <v>2</v>
      </c>
      <c r="G22">
        <v>2053598</v>
      </c>
      <c r="H22" t="s">
        <v>1</v>
      </c>
      <c r="I22">
        <v>-169389</v>
      </c>
      <c r="J22">
        <f t="shared" si="3"/>
        <v>1437832</v>
      </c>
      <c r="K22" s="2">
        <f t="shared" si="11"/>
        <v>1311731</v>
      </c>
      <c r="L22" s="2">
        <f t="shared" si="4"/>
        <v>126101</v>
      </c>
      <c r="M22" s="2">
        <f t="shared" si="5"/>
        <v>1347323</v>
      </c>
      <c r="N22" s="2">
        <f t="shared" si="6"/>
        <v>1599525</v>
      </c>
      <c r="O22" s="2">
        <f t="shared" si="12"/>
        <v>252203</v>
      </c>
      <c r="Q22">
        <f t="shared" si="7"/>
        <v>4171045</v>
      </c>
      <c r="R22">
        <f t="shared" si="7"/>
        <v>2273416</v>
      </c>
      <c r="S22">
        <f t="shared" si="7"/>
        <v>3669544</v>
      </c>
      <c r="T22">
        <f t="shared" si="7"/>
        <v>2394343</v>
      </c>
      <c r="U22">
        <f t="shared" si="7"/>
        <v>2530644</v>
      </c>
      <c r="V22">
        <f t="shared" si="7"/>
        <v>3262160</v>
      </c>
      <c r="W22">
        <f t="shared" si="7"/>
        <v>4391942</v>
      </c>
      <c r="X22">
        <f t="shared" si="7"/>
        <v>3033210</v>
      </c>
      <c r="Y22">
        <f t="shared" si="7"/>
        <v>3438261</v>
      </c>
      <c r="Z22">
        <f t="shared" si="7"/>
        <v>3680970</v>
      </c>
      <c r="AA22">
        <f t="shared" si="7"/>
        <v>3916789</v>
      </c>
      <c r="AB22">
        <f t="shared" si="7"/>
        <v>3551689</v>
      </c>
      <c r="AC22">
        <f t="shared" si="7"/>
        <v>5626574</v>
      </c>
      <c r="AD22">
        <f t="shared" si="7"/>
        <v>2870345</v>
      </c>
      <c r="AE22">
        <f t="shared" si="7"/>
        <v>2919383</v>
      </c>
      <c r="AF22">
        <f t="shared" si="7"/>
        <v>5943216</v>
      </c>
      <c r="AG22">
        <f t="shared" si="10"/>
        <v>3232715</v>
      </c>
      <c r="AH22">
        <f t="shared" si="10"/>
        <v>4108706</v>
      </c>
      <c r="AI22">
        <f t="shared" si="10"/>
        <v>1437832</v>
      </c>
      <c r="AJ22">
        <f t="shared" si="10"/>
        <v>975971</v>
      </c>
      <c r="AK22">
        <f t="shared" si="10"/>
        <v>4872741</v>
      </c>
      <c r="AL22">
        <f t="shared" si="10"/>
        <v>3525333</v>
      </c>
      <c r="AM22">
        <f t="shared" si="10"/>
        <v>3610491</v>
      </c>
      <c r="AN22">
        <f t="shared" si="10"/>
        <v>3109114</v>
      </c>
      <c r="AO22">
        <f t="shared" si="10"/>
        <v>3506407</v>
      </c>
      <c r="AP22">
        <f t="shared" si="10"/>
        <v>2495269</v>
      </c>
      <c r="AQ22">
        <f t="shared" si="10"/>
        <v>2328408</v>
      </c>
      <c r="AR22">
        <f t="shared" si="10"/>
        <v>3116726</v>
      </c>
    </row>
    <row r="23" spans="2:44" ht="17" x14ac:dyDescent="0.25">
      <c r="B23" s="1" t="s">
        <v>0</v>
      </c>
      <c r="C23">
        <v>2669347</v>
      </c>
      <c r="D23" t="s">
        <v>1</v>
      </c>
      <c r="E23">
        <v>190833</v>
      </c>
      <c r="F23" t="s">
        <v>2</v>
      </c>
      <c r="G23">
        <v>2053598</v>
      </c>
      <c r="H23" t="s">
        <v>1</v>
      </c>
      <c r="I23">
        <v>-169389</v>
      </c>
      <c r="J23">
        <f t="shared" si="3"/>
        <v>975971</v>
      </c>
      <c r="K23" s="2" t="str">
        <f t="shared" si="11"/>
        <v/>
      </c>
      <c r="L23" s="2" t="str">
        <f t="shared" si="4"/>
        <v/>
      </c>
      <c r="M23" s="2">
        <f t="shared" si="5"/>
        <v>0</v>
      </c>
      <c r="N23" s="2">
        <f t="shared" si="6"/>
        <v>0</v>
      </c>
      <c r="O23" s="2">
        <f t="shared" si="12"/>
        <v>0</v>
      </c>
      <c r="Q23">
        <f t="shared" si="7"/>
        <v>4171045</v>
      </c>
      <c r="R23">
        <f t="shared" si="7"/>
        <v>2273416</v>
      </c>
      <c r="S23">
        <f t="shared" si="7"/>
        <v>3669544</v>
      </c>
      <c r="T23">
        <f t="shared" si="7"/>
        <v>2394343</v>
      </c>
      <c r="U23">
        <f t="shared" si="7"/>
        <v>2530644</v>
      </c>
      <c r="V23">
        <f t="shared" si="7"/>
        <v>3262160</v>
      </c>
      <c r="W23">
        <f t="shared" si="7"/>
        <v>4391942</v>
      </c>
      <c r="X23">
        <f t="shared" si="7"/>
        <v>3033210</v>
      </c>
      <c r="Y23">
        <f t="shared" si="7"/>
        <v>3438261</v>
      </c>
      <c r="Z23">
        <f t="shared" si="7"/>
        <v>3680970</v>
      </c>
      <c r="AA23">
        <f t="shared" si="7"/>
        <v>3916789</v>
      </c>
      <c r="AB23">
        <f t="shared" si="7"/>
        <v>3551689</v>
      </c>
      <c r="AC23">
        <f t="shared" si="7"/>
        <v>5626574</v>
      </c>
      <c r="AD23">
        <f t="shared" si="7"/>
        <v>2870345</v>
      </c>
      <c r="AE23">
        <f t="shared" si="7"/>
        <v>2919383</v>
      </c>
      <c r="AF23">
        <f t="shared" si="7"/>
        <v>5943216</v>
      </c>
      <c r="AG23">
        <f t="shared" si="10"/>
        <v>3232715</v>
      </c>
      <c r="AH23">
        <f t="shared" si="10"/>
        <v>4108706</v>
      </c>
      <c r="AI23">
        <f t="shared" si="10"/>
        <v>1437832</v>
      </c>
      <c r="AJ23">
        <f t="shared" si="10"/>
        <v>975971</v>
      </c>
      <c r="AK23">
        <f t="shared" si="10"/>
        <v>4872741</v>
      </c>
      <c r="AL23">
        <f t="shared" si="10"/>
        <v>3525333</v>
      </c>
      <c r="AM23">
        <f t="shared" si="10"/>
        <v>3610491</v>
      </c>
      <c r="AN23">
        <f t="shared" si="10"/>
        <v>3109114</v>
      </c>
      <c r="AO23">
        <f t="shared" si="10"/>
        <v>3506407</v>
      </c>
      <c r="AP23">
        <f t="shared" si="10"/>
        <v>2495269</v>
      </c>
      <c r="AQ23">
        <f t="shared" si="10"/>
        <v>2328408</v>
      </c>
      <c r="AR23">
        <f t="shared" si="10"/>
        <v>3116726</v>
      </c>
    </row>
    <row r="24" spans="2:44" ht="17" x14ac:dyDescent="0.25">
      <c r="B24" s="1" t="s">
        <v>0</v>
      </c>
      <c r="C24">
        <v>2973167</v>
      </c>
      <c r="D24" t="s">
        <v>1</v>
      </c>
      <c r="E24">
        <v>3783783</v>
      </c>
      <c r="F24" t="s">
        <v>2</v>
      </c>
      <c r="G24">
        <v>3207147</v>
      </c>
      <c r="H24" t="s">
        <v>1</v>
      </c>
      <c r="I24">
        <v>4217920</v>
      </c>
      <c r="J24">
        <f t="shared" si="3"/>
        <v>668117</v>
      </c>
      <c r="K24" s="2" t="str">
        <f t="shared" si="11"/>
        <v/>
      </c>
      <c r="L24" s="2" t="str">
        <f t="shared" si="4"/>
        <v/>
      </c>
      <c r="M24" s="2">
        <f t="shared" si="5"/>
        <v>0</v>
      </c>
      <c r="N24" s="2">
        <f t="shared" si="6"/>
        <v>0</v>
      </c>
      <c r="O24" s="2">
        <f t="shared" si="12"/>
        <v>0</v>
      </c>
      <c r="Q24">
        <f t="shared" si="7"/>
        <v>1369813</v>
      </c>
      <c r="R24">
        <f t="shared" si="7"/>
        <v>6795498</v>
      </c>
      <c r="S24">
        <f t="shared" si="7"/>
        <v>2098116</v>
      </c>
      <c r="T24">
        <f t="shared" si="7"/>
        <v>3295001</v>
      </c>
      <c r="U24">
        <f t="shared" si="7"/>
        <v>3010214</v>
      </c>
      <c r="V24">
        <f t="shared" si="7"/>
        <v>4354730</v>
      </c>
      <c r="W24">
        <f t="shared" si="7"/>
        <v>1666548</v>
      </c>
      <c r="X24">
        <f t="shared" si="7"/>
        <v>2507648</v>
      </c>
      <c r="Y24">
        <f t="shared" si="7"/>
        <v>6203921</v>
      </c>
      <c r="Z24">
        <f t="shared" si="7"/>
        <v>1859888</v>
      </c>
      <c r="AA24">
        <f t="shared" si="7"/>
        <v>5706221</v>
      </c>
      <c r="AB24">
        <f t="shared" si="7"/>
        <v>2118041</v>
      </c>
      <c r="AC24">
        <f t="shared" si="7"/>
        <v>3686704</v>
      </c>
      <c r="AD24">
        <f t="shared" si="7"/>
        <v>3604655</v>
      </c>
      <c r="AE24">
        <f t="shared" si="7"/>
        <v>5235529</v>
      </c>
      <c r="AF24">
        <f t="shared" si="7"/>
        <v>1122800</v>
      </c>
      <c r="AG24">
        <f t="shared" ref="AG24:AR31" si="13">ABS($G24-AG$2)+ABS($I24-AG$3)</f>
        <v>3608553</v>
      </c>
      <c r="AH24">
        <f t="shared" si="13"/>
        <v>1432152</v>
      </c>
      <c r="AI24">
        <f t="shared" si="13"/>
        <v>5263374</v>
      </c>
      <c r="AJ24">
        <f t="shared" si="13"/>
        <v>4564887</v>
      </c>
      <c r="AK24">
        <f t="shared" si="13"/>
        <v>668117</v>
      </c>
      <c r="AL24">
        <f t="shared" si="13"/>
        <v>2099051</v>
      </c>
      <c r="AM24">
        <f t="shared" si="13"/>
        <v>2833115</v>
      </c>
      <c r="AN24">
        <f t="shared" si="13"/>
        <v>3875228</v>
      </c>
      <c r="AO24">
        <f t="shared" si="13"/>
        <v>2104931</v>
      </c>
      <c r="AP24">
        <f t="shared" si="13"/>
        <v>3528975</v>
      </c>
      <c r="AQ24">
        <f t="shared" si="13"/>
        <v>3784252</v>
      </c>
      <c r="AR24">
        <f t="shared" si="13"/>
        <v>6009756</v>
      </c>
    </row>
    <row r="25" spans="2:44" ht="17" x14ac:dyDescent="0.25">
      <c r="B25" s="1" t="s">
        <v>0</v>
      </c>
      <c r="C25">
        <v>2011835</v>
      </c>
      <c r="D25" t="s">
        <v>1</v>
      </c>
      <c r="E25">
        <v>3314181</v>
      </c>
      <c r="F25" t="s">
        <v>2</v>
      </c>
      <c r="G25">
        <v>2010485</v>
      </c>
      <c r="H25" t="s">
        <v>1</v>
      </c>
      <c r="I25">
        <v>3291030</v>
      </c>
      <c r="J25">
        <f t="shared" si="3"/>
        <v>24501</v>
      </c>
      <c r="K25" s="2" t="str">
        <f t="shared" si="11"/>
        <v/>
      </c>
      <c r="L25" s="2" t="str">
        <f t="shared" si="4"/>
        <v/>
      </c>
      <c r="M25" s="2">
        <f t="shared" si="5"/>
        <v>0</v>
      </c>
      <c r="N25" s="2">
        <f t="shared" si="6"/>
        <v>0</v>
      </c>
      <c r="O25" s="2">
        <f t="shared" si="12"/>
        <v>0</v>
      </c>
      <c r="Q25">
        <f t="shared" si="7"/>
        <v>1401865</v>
      </c>
      <c r="R25">
        <f t="shared" si="7"/>
        <v>4671946</v>
      </c>
      <c r="S25">
        <f t="shared" si="7"/>
        <v>166012</v>
      </c>
      <c r="T25">
        <f t="shared" si="7"/>
        <v>1171449</v>
      </c>
      <c r="U25">
        <f t="shared" si="7"/>
        <v>2584522</v>
      </c>
      <c r="V25">
        <f t="shared" si="7"/>
        <v>2231178</v>
      </c>
      <c r="W25">
        <f t="shared" si="7"/>
        <v>888410</v>
      </c>
      <c r="X25">
        <f t="shared" si="7"/>
        <v>1078342</v>
      </c>
      <c r="Y25">
        <f t="shared" si="7"/>
        <v>4080369</v>
      </c>
      <c r="Z25">
        <f t="shared" si="7"/>
        <v>523652</v>
      </c>
      <c r="AA25">
        <f t="shared" si="7"/>
        <v>3582669</v>
      </c>
      <c r="AB25">
        <f t="shared" si="7"/>
        <v>48157</v>
      </c>
      <c r="AC25">
        <f t="shared" si="7"/>
        <v>2123042</v>
      </c>
      <c r="AD25">
        <f t="shared" si="7"/>
        <v>1481103</v>
      </c>
      <c r="AE25">
        <f t="shared" si="7"/>
        <v>3111977</v>
      </c>
      <c r="AF25">
        <f t="shared" si="7"/>
        <v>2525910</v>
      </c>
      <c r="AG25">
        <f t="shared" si="13"/>
        <v>1485001</v>
      </c>
      <c r="AH25">
        <f t="shared" si="13"/>
        <v>691400</v>
      </c>
      <c r="AI25">
        <f t="shared" si="13"/>
        <v>3139822</v>
      </c>
      <c r="AJ25">
        <f t="shared" si="13"/>
        <v>3759059</v>
      </c>
      <c r="AK25">
        <f t="shared" si="13"/>
        <v>1455435</v>
      </c>
      <c r="AL25">
        <f t="shared" si="13"/>
        <v>24501</v>
      </c>
      <c r="AM25">
        <f t="shared" si="13"/>
        <v>709563</v>
      </c>
      <c r="AN25">
        <f t="shared" si="13"/>
        <v>4145000</v>
      </c>
      <c r="AO25">
        <f t="shared" si="13"/>
        <v>18621</v>
      </c>
      <c r="AP25">
        <f t="shared" si="13"/>
        <v>1405423</v>
      </c>
      <c r="AQ25">
        <f t="shared" si="13"/>
        <v>1660700</v>
      </c>
      <c r="AR25">
        <f t="shared" si="13"/>
        <v>3886204</v>
      </c>
    </row>
    <row r="26" spans="2:44" ht="17" x14ac:dyDescent="0.25">
      <c r="B26" s="1" t="s">
        <v>0</v>
      </c>
      <c r="C26">
        <v>1602224</v>
      </c>
      <c r="D26" t="s">
        <v>1</v>
      </c>
      <c r="E26">
        <v>2989728</v>
      </c>
      <c r="F26" t="s">
        <v>2</v>
      </c>
      <c r="G26">
        <v>2010485</v>
      </c>
      <c r="H26" t="s">
        <v>1</v>
      </c>
      <c r="I26">
        <v>3291030</v>
      </c>
      <c r="J26">
        <f t="shared" si="3"/>
        <v>709563</v>
      </c>
      <c r="K26" s="2" t="str">
        <f t="shared" si="11"/>
        <v/>
      </c>
      <c r="L26" s="2" t="str">
        <f t="shared" si="4"/>
        <v/>
      </c>
      <c r="M26" s="2">
        <f t="shared" si="5"/>
        <v>0</v>
      </c>
      <c r="N26" s="2">
        <f t="shared" si="6"/>
        <v>0</v>
      </c>
      <c r="O26" s="2">
        <f t="shared" si="12"/>
        <v>0</v>
      </c>
      <c r="Q26">
        <f t="shared" si="7"/>
        <v>1401865</v>
      </c>
      <c r="R26">
        <f t="shared" si="7"/>
        <v>4671946</v>
      </c>
      <c r="S26">
        <f t="shared" si="7"/>
        <v>166012</v>
      </c>
      <c r="T26">
        <f t="shared" si="7"/>
        <v>1171449</v>
      </c>
      <c r="U26">
        <f t="shared" si="7"/>
        <v>2584522</v>
      </c>
      <c r="V26">
        <f t="shared" si="7"/>
        <v>2231178</v>
      </c>
      <c r="W26">
        <f t="shared" si="7"/>
        <v>888410</v>
      </c>
      <c r="X26">
        <f t="shared" si="7"/>
        <v>1078342</v>
      </c>
      <c r="Y26">
        <f t="shared" si="7"/>
        <v>4080369</v>
      </c>
      <c r="Z26">
        <f t="shared" si="7"/>
        <v>523652</v>
      </c>
      <c r="AA26">
        <f t="shared" si="7"/>
        <v>3582669</v>
      </c>
      <c r="AB26">
        <f t="shared" si="7"/>
        <v>48157</v>
      </c>
      <c r="AC26">
        <f t="shared" si="7"/>
        <v>2123042</v>
      </c>
      <c r="AD26">
        <f t="shared" si="7"/>
        <v>1481103</v>
      </c>
      <c r="AE26">
        <f t="shared" si="7"/>
        <v>3111977</v>
      </c>
      <c r="AF26">
        <f t="shared" si="7"/>
        <v>2525910</v>
      </c>
      <c r="AG26">
        <f t="shared" si="13"/>
        <v>1485001</v>
      </c>
      <c r="AH26">
        <f t="shared" si="13"/>
        <v>691400</v>
      </c>
      <c r="AI26">
        <f t="shared" si="13"/>
        <v>3139822</v>
      </c>
      <c r="AJ26">
        <f t="shared" si="13"/>
        <v>3759059</v>
      </c>
      <c r="AK26">
        <f t="shared" si="13"/>
        <v>1455435</v>
      </c>
      <c r="AL26">
        <f t="shared" si="13"/>
        <v>24501</v>
      </c>
      <c r="AM26">
        <f t="shared" si="13"/>
        <v>709563</v>
      </c>
      <c r="AN26">
        <f t="shared" si="13"/>
        <v>4145000</v>
      </c>
      <c r="AO26">
        <f t="shared" si="13"/>
        <v>18621</v>
      </c>
      <c r="AP26">
        <f t="shared" si="13"/>
        <v>1405423</v>
      </c>
      <c r="AQ26">
        <f t="shared" si="13"/>
        <v>1660700</v>
      </c>
      <c r="AR26">
        <f t="shared" si="13"/>
        <v>3886204</v>
      </c>
    </row>
    <row r="27" spans="2:44" ht="17" x14ac:dyDescent="0.25">
      <c r="B27" s="1" t="s">
        <v>0</v>
      </c>
      <c r="C27">
        <v>3928889</v>
      </c>
      <c r="D27" t="s">
        <v>1</v>
      </c>
      <c r="E27">
        <v>1064434</v>
      </c>
      <c r="F27" t="s">
        <v>2</v>
      </c>
      <c r="G27">
        <v>3340990</v>
      </c>
      <c r="H27" t="s">
        <v>1</v>
      </c>
      <c r="I27">
        <v>2451747</v>
      </c>
      <c r="J27">
        <f t="shared" si="3"/>
        <v>1975212</v>
      </c>
      <c r="K27" s="2">
        <f t="shared" si="11"/>
        <v>935566</v>
      </c>
      <c r="L27" s="2">
        <f t="shared" si="4"/>
        <v>1039646</v>
      </c>
      <c r="M27" s="2">
        <f t="shared" si="5"/>
        <v>2889243</v>
      </c>
      <c r="N27" s="2">
        <f t="shared" si="6"/>
        <v>4968535</v>
      </c>
      <c r="O27" s="2">
        <f t="shared" si="12"/>
        <v>2079293</v>
      </c>
      <c r="Q27">
        <f t="shared" si="7"/>
        <v>767923</v>
      </c>
      <c r="R27">
        <f t="shared" si="7"/>
        <v>5163168</v>
      </c>
      <c r="S27">
        <f t="shared" si="7"/>
        <v>2335800</v>
      </c>
      <c r="T27">
        <f t="shared" si="7"/>
        <v>1662671</v>
      </c>
      <c r="U27">
        <f t="shared" si="7"/>
        <v>1377884</v>
      </c>
      <c r="V27">
        <f t="shared" si="7"/>
        <v>2722400</v>
      </c>
      <c r="W27">
        <f t="shared" si="7"/>
        <v>3058198</v>
      </c>
      <c r="X27">
        <f t="shared" si="7"/>
        <v>1091446</v>
      </c>
      <c r="Y27">
        <f t="shared" si="7"/>
        <v>4571591</v>
      </c>
      <c r="Z27">
        <f t="shared" si="7"/>
        <v>1646136</v>
      </c>
      <c r="AA27">
        <f t="shared" si="7"/>
        <v>4073891</v>
      </c>
      <c r="AB27">
        <f t="shared" si="7"/>
        <v>2217945</v>
      </c>
      <c r="AC27">
        <f t="shared" si="7"/>
        <v>4292830</v>
      </c>
      <c r="AD27">
        <f t="shared" si="7"/>
        <v>1972325</v>
      </c>
      <c r="AE27">
        <f t="shared" si="7"/>
        <v>3603199</v>
      </c>
      <c r="AF27">
        <f t="shared" si="7"/>
        <v>2034688</v>
      </c>
      <c r="AG27">
        <f t="shared" si="13"/>
        <v>1976223</v>
      </c>
      <c r="AH27">
        <f t="shared" si="13"/>
        <v>2194724</v>
      </c>
      <c r="AI27">
        <f t="shared" si="13"/>
        <v>3631044</v>
      </c>
      <c r="AJ27">
        <f t="shared" si="13"/>
        <v>2932557</v>
      </c>
      <c r="AK27">
        <f t="shared" si="13"/>
        <v>1699859</v>
      </c>
      <c r="AL27">
        <f t="shared" si="13"/>
        <v>2191589</v>
      </c>
      <c r="AM27">
        <f t="shared" si="13"/>
        <v>2276747</v>
      </c>
      <c r="AN27">
        <f t="shared" si="13"/>
        <v>1975212</v>
      </c>
      <c r="AO27">
        <f t="shared" si="13"/>
        <v>2172663</v>
      </c>
      <c r="AP27">
        <f t="shared" si="13"/>
        <v>1896645</v>
      </c>
      <c r="AQ27">
        <f t="shared" si="13"/>
        <v>2151922</v>
      </c>
      <c r="AR27">
        <f t="shared" si="13"/>
        <v>4377426</v>
      </c>
    </row>
    <row r="28" spans="2:44" ht="17" x14ac:dyDescent="0.25">
      <c r="B28" s="1" t="s">
        <v>0</v>
      </c>
      <c r="C28">
        <v>2018358</v>
      </c>
      <c r="D28" t="s">
        <v>1</v>
      </c>
      <c r="E28">
        <v>3301778</v>
      </c>
      <c r="F28" t="s">
        <v>2</v>
      </c>
      <c r="G28">
        <v>2010485</v>
      </c>
      <c r="H28" t="s">
        <v>1</v>
      </c>
      <c r="I28">
        <v>3291030</v>
      </c>
      <c r="J28">
        <f t="shared" si="3"/>
        <v>18621</v>
      </c>
      <c r="K28" s="2" t="str">
        <f t="shared" si="11"/>
        <v/>
      </c>
      <c r="L28" s="2" t="str">
        <f t="shared" si="4"/>
        <v/>
      </c>
      <c r="M28" s="2">
        <f t="shared" si="5"/>
        <v>0</v>
      </c>
      <c r="N28" s="2">
        <f t="shared" si="6"/>
        <v>0</v>
      </c>
      <c r="O28" s="2">
        <f t="shared" si="12"/>
        <v>0</v>
      </c>
      <c r="Q28">
        <f t="shared" si="7"/>
        <v>1401865</v>
      </c>
      <c r="R28">
        <f t="shared" si="7"/>
        <v>4671946</v>
      </c>
      <c r="S28">
        <f t="shared" si="7"/>
        <v>166012</v>
      </c>
      <c r="T28">
        <f t="shared" si="7"/>
        <v>1171449</v>
      </c>
      <c r="U28">
        <f t="shared" si="7"/>
        <v>2584522</v>
      </c>
      <c r="V28">
        <f t="shared" si="7"/>
        <v>2231178</v>
      </c>
      <c r="W28">
        <f t="shared" si="7"/>
        <v>888410</v>
      </c>
      <c r="X28">
        <f t="shared" ref="X28:AF31" si="14">ABS($G28-X$2)+ABS($I28-X$3)</f>
        <v>1078342</v>
      </c>
      <c r="Y28">
        <f t="shared" si="14"/>
        <v>4080369</v>
      </c>
      <c r="Z28">
        <f t="shared" si="14"/>
        <v>523652</v>
      </c>
      <c r="AA28">
        <f t="shared" si="14"/>
        <v>3582669</v>
      </c>
      <c r="AB28">
        <f t="shared" si="14"/>
        <v>48157</v>
      </c>
      <c r="AC28">
        <f t="shared" si="14"/>
        <v>2123042</v>
      </c>
      <c r="AD28">
        <f t="shared" si="14"/>
        <v>1481103</v>
      </c>
      <c r="AE28">
        <f t="shared" si="14"/>
        <v>3111977</v>
      </c>
      <c r="AF28">
        <f t="shared" si="14"/>
        <v>2525910</v>
      </c>
      <c r="AG28">
        <f t="shared" si="13"/>
        <v>1485001</v>
      </c>
      <c r="AH28">
        <f t="shared" si="13"/>
        <v>691400</v>
      </c>
      <c r="AI28">
        <f t="shared" si="13"/>
        <v>3139822</v>
      </c>
      <c r="AJ28">
        <f t="shared" si="13"/>
        <v>3759059</v>
      </c>
      <c r="AK28">
        <f t="shared" si="13"/>
        <v>1455435</v>
      </c>
      <c r="AL28">
        <f t="shared" si="13"/>
        <v>24501</v>
      </c>
      <c r="AM28">
        <f t="shared" si="13"/>
        <v>709563</v>
      </c>
      <c r="AN28">
        <f t="shared" si="13"/>
        <v>4145000</v>
      </c>
      <c r="AO28">
        <f t="shared" si="13"/>
        <v>18621</v>
      </c>
      <c r="AP28">
        <f t="shared" si="13"/>
        <v>1405423</v>
      </c>
      <c r="AQ28">
        <f t="shared" si="13"/>
        <v>1660700</v>
      </c>
      <c r="AR28">
        <f t="shared" si="13"/>
        <v>3886204</v>
      </c>
    </row>
    <row r="29" spans="2:44" ht="17" x14ac:dyDescent="0.25">
      <c r="B29" s="1" t="s">
        <v>0</v>
      </c>
      <c r="C29">
        <v>1811905</v>
      </c>
      <c r="D29" t="s">
        <v>1</v>
      </c>
      <c r="E29">
        <v>2084187</v>
      </c>
      <c r="F29" t="s">
        <v>2</v>
      </c>
      <c r="G29">
        <v>1690952</v>
      </c>
      <c r="H29" t="s">
        <v>1</v>
      </c>
      <c r="I29">
        <v>2000000</v>
      </c>
      <c r="J29">
        <f t="shared" si="3"/>
        <v>205140</v>
      </c>
      <c r="K29" s="2">
        <f t="shared" si="11"/>
        <v>84187</v>
      </c>
      <c r="L29" s="2">
        <f t="shared" si="4"/>
        <v>120953</v>
      </c>
      <c r="M29" s="2">
        <f t="shared" si="5"/>
        <v>1690952</v>
      </c>
      <c r="N29" s="2">
        <f t="shared" si="6"/>
        <v>1932858</v>
      </c>
      <c r="O29" s="2">
        <f t="shared" si="12"/>
        <v>241907</v>
      </c>
      <c r="Q29">
        <f t="shared" ref="Q29:W31" si="15">ABS($G29-Q$2)+ABS($I29-Q$3)</f>
        <v>2364302</v>
      </c>
      <c r="R29">
        <f t="shared" si="15"/>
        <v>3061383</v>
      </c>
      <c r="S29">
        <f t="shared" si="15"/>
        <v>1635999</v>
      </c>
      <c r="T29">
        <f t="shared" si="15"/>
        <v>439114</v>
      </c>
      <c r="U29">
        <f t="shared" si="15"/>
        <v>1613025</v>
      </c>
      <c r="V29">
        <f t="shared" si="15"/>
        <v>730125</v>
      </c>
      <c r="W29">
        <f t="shared" si="15"/>
        <v>2067567</v>
      </c>
      <c r="X29">
        <f t="shared" si="14"/>
        <v>1226467</v>
      </c>
      <c r="Y29">
        <f t="shared" si="14"/>
        <v>2469806</v>
      </c>
      <c r="Z29">
        <f t="shared" si="14"/>
        <v>1874227</v>
      </c>
      <c r="AA29">
        <f t="shared" si="14"/>
        <v>1972106</v>
      </c>
      <c r="AB29">
        <f t="shared" si="14"/>
        <v>1616074</v>
      </c>
      <c r="AC29">
        <f t="shared" si="14"/>
        <v>3094539</v>
      </c>
      <c r="AD29">
        <f t="shared" si="14"/>
        <v>338310</v>
      </c>
      <c r="AE29">
        <f t="shared" si="14"/>
        <v>1501414</v>
      </c>
      <c r="AF29">
        <f t="shared" si="14"/>
        <v>4136473</v>
      </c>
      <c r="AG29">
        <f t="shared" si="13"/>
        <v>700680</v>
      </c>
      <c r="AH29">
        <f t="shared" si="13"/>
        <v>2301963</v>
      </c>
      <c r="AI29">
        <f t="shared" si="13"/>
        <v>1529259</v>
      </c>
      <c r="AJ29">
        <f t="shared" si="13"/>
        <v>2787562</v>
      </c>
      <c r="AK29">
        <f t="shared" si="13"/>
        <v>3065998</v>
      </c>
      <c r="AL29">
        <f t="shared" si="13"/>
        <v>1635064</v>
      </c>
      <c r="AM29">
        <f t="shared" si="13"/>
        <v>1078456</v>
      </c>
      <c r="AN29">
        <f t="shared" si="13"/>
        <v>3173503</v>
      </c>
      <c r="AO29">
        <f t="shared" si="13"/>
        <v>1629184</v>
      </c>
      <c r="AP29">
        <f t="shared" si="13"/>
        <v>205140</v>
      </c>
      <c r="AQ29">
        <f t="shared" si="13"/>
        <v>203627</v>
      </c>
      <c r="AR29">
        <f t="shared" si="13"/>
        <v>2275641</v>
      </c>
    </row>
    <row r="30" spans="2:44" ht="17" x14ac:dyDescent="0.25">
      <c r="B30" s="1" t="s">
        <v>0</v>
      </c>
      <c r="C30">
        <v>1767697</v>
      </c>
      <c r="D30" t="s">
        <v>1</v>
      </c>
      <c r="E30">
        <v>1873118</v>
      </c>
      <c r="F30" t="s">
        <v>2</v>
      </c>
      <c r="G30">
        <v>1690952</v>
      </c>
      <c r="H30" t="s">
        <v>1</v>
      </c>
      <c r="I30">
        <v>2000000</v>
      </c>
      <c r="J30">
        <f t="shared" si="3"/>
        <v>203627</v>
      </c>
      <c r="K30" s="2">
        <f t="shared" si="11"/>
        <v>126882</v>
      </c>
      <c r="L30" s="2">
        <f t="shared" si="4"/>
        <v>76745</v>
      </c>
      <c r="M30" s="2">
        <f t="shared" si="5"/>
        <v>1690952</v>
      </c>
      <c r="N30" s="2">
        <f t="shared" si="6"/>
        <v>1844442</v>
      </c>
      <c r="O30" s="2">
        <f t="shared" si="12"/>
        <v>153491</v>
      </c>
      <c r="Q30">
        <f t="shared" si="15"/>
        <v>2364302</v>
      </c>
      <c r="R30">
        <f t="shared" si="15"/>
        <v>3061383</v>
      </c>
      <c r="S30">
        <f t="shared" si="15"/>
        <v>1635999</v>
      </c>
      <c r="T30">
        <f t="shared" si="15"/>
        <v>439114</v>
      </c>
      <c r="U30">
        <f t="shared" si="15"/>
        <v>1613025</v>
      </c>
      <c r="V30">
        <f t="shared" si="15"/>
        <v>730125</v>
      </c>
      <c r="W30">
        <f t="shared" si="15"/>
        <v>2067567</v>
      </c>
      <c r="X30">
        <f t="shared" si="14"/>
        <v>1226467</v>
      </c>
      <c r="Y30">
        <f t="shared" si="14"/>
        <v>2469806</v>
      </c>
      <c r="Z30">
        <f t="shared" si="14"/>
        <v>1874227</v>
      </c>
      <c r="AA30">
        <f t="shared" si="14"/>
        <v>1972106</v>
      </c>
      <c r="AB30">
        <f t="shared" si="14"/>
        <v>1616074</v>
      </c>
      <c r="AC30">
        <f t="shared" si="14"/>
        <v>3094539</v>
      </c>
      <c r="AD30">
        <f t="shared" si="14"/>
        <v>338310</v>
      </c>
      <c r="AE30">
        <f t="shared" si="14"/>
        <v>1501414</v>
      </c>
      <c r="AF30">
        <f t="shared" si="14"/>
        <v>4136473</v>
      </c>
      <c r="AG30">
        <f t="shared" si="13"/>
        <v>700680</v>
      </c>
      <c r="AH30">
        <f t="shared" si="13"/>
        <v>2301963</v>
      </c>
      <c r="AI30">
        <f t="shared" si="13"/>
        <v>1529259</v>
      </c>
      <c r="AJ30">
        <f t="shared" si="13"/>
        <v>2787562</v>
      </c>
      <c r="AK30">
        <f t="shared" si="13"/>
        <v>3065998</v>
      </c>
      <c r="AL30">
        <f t="shared" si="13"/>
        <v>1635064</v>
      </c>
      <c r="AM30">
        <f t="shared" si="13"/>
        <v>1078456</v>
      </c>
      <c r="AN30">
        <f t="shared" si="13"/>
        <v>3173503</v>
      </c>
      <c r="AO30">
        <f t="shared" si="13"/>
        <v>1629184</v>
      </c>
      <c r="AP30">
        <f t="shared" si="13"/>
        <v>205140</v>
      </c>
      <c r="AQ30">
        <f t="shared" si="13"/>
        <v>203627</v>
      </c>
      <c r="AR30">
        <f t="shared" si="13"/>
        <v>2275641</v>
      </c>
    </row>
    <row r="31" spans="2:44" ht="17" x14ac:dyDescent="0.25">
      <c r="B31" s="1" t="s">
        <v>0</v>
      </c>
      <c r="C31">
        <v>260786</v>
      </c>
      <c r="D31" t="s">
        <v>1</v>
      </c>
      <c r="E31">
        <v>1154525</v>
      </c>
      <c r="F31" t="s">
        <v>2</v>
      </c>
      <c r="G31">
        <v>20077</v>
      </c>
      <c r="H31" t="s">
        <v>1</v>
      </c>
      <c r="I31">
        <v>1235084</v>
      </c>
      <c r="J31">
        <f t="shared" si="3"/>
        <v>321268</v>
      </c>
      <c r="K31" s="2" t="str">
        <f t="shared" si="11"/>
        <v/>
      </c>
      <c r="L31" s="2" t="str">
        <f t="shared" si="4"/>
        <v/>
      </c>
      <c r="M31" s="2">
        <f t="shared" si="5"/>
        <v>0</v>
      </c>
      <c r="N31" s="2">
        <f t="shared" si="6"/>
        <v>0</v>
      </c>
      <c r="O31" s="2">
        <f t="shared" si="12"/>
        <v>0</v>
      </c>
      <c r="Q31">
        <f t="shared" si="15"/>
        <v>4800093</v>
      </c>
      <c r="R31">
        <f t="shared" si="15"/>
        <v>1164578</v>
      </c>
      <c r="S31">
        <f t="shared" si="15"/>
        <v>4071790</v>
      </c>
      <c r="T31">
        <f t="shared" si="15"/>
        <v>2874905</v>
      </c>
      <c r="U31">
        <f t="shared" si="15"/>
        <v>3159692</v>
      </c>
      <c r="V31">
        <f t="shared" si="15"/>
        <v>1815176</v>
      </c>
      <c r="W31">
        <f t="shared" si="15"/>
        <v>4503358</v>
      </c>
      <c r="X31">
        <f t="shared" si="14"/>
        <v>3662258</v>
      </c>
      <c r="Y31">
        <f t="shared" si="14"/>
        <v>34015</v>
      </c>
      <c r="Z31">
        <f t="shared" si="14"/>
        <v>4310018</v>
      </c>
      <c r="AA31">
        <f t="shared" si="14"/>
        <v>478795</v>
      </c>
      <c r="AB31">
        <f t="shared" si="14"/>
        <v>4051865</v>
      </c>
      <c r="AC31">
        <f t="shared" si="14"/>
        <v>2483202</v>
      </c>
      <c r="AD31">
        <f t="shared" si="14"/>
        <v>2565251</v>
      </c>
      <c r="AE31">
        <f t="shared" si="14"/>
        <v>934377</v>
      </c>
      <c r="AF31">
        <f t="shared" si="14"/>
        <v>6572264</v>
      </c>
      <c r="AG31">
        <f t="shared" si="13"/>
        <v>2561353</v>
      </c>
      <c r="AH31">
        <f t="shared" si="13"/>
        <v>4737754</v>
      </c>
      <c r="AI31">
        <f t="shared" si="13"/>
        <v>2000162</v>
      </c>
      <c r="AJ31">
        <f t="shared" si="13"/>
        <v>3693521</v>
      </c>
      <c r="AK31">
        <f t="shared" si="13"/>
        <v>5501789</v>
      </c>
      <c r="AL31">
        <f t="shared" si="13"/>
        <v>4070855</v>
      </c>
      <c r="AM31">
        <f t="shared" si="13"/>
        <v>3336791</v>
      </c>
      <c r="AN31">
        <f t="shared" si="13"/>
        <v>4079462</v>
      </c>
      <c r="AO31">
        <f t="shared" si="13"/>
        <v>4064975</v>
      </c>
      <c r="AP31">
        <f t="shared" si="13"/>
        <v>2640931</v>
      </c>
      <c r="AQ31">
        <f t="shared" si="13"/>
        <v>2385654</v>
      </c>
      <c r="AR31">
        <f t="shared" si="13"/>
        <v>321268</v>
      </c>
    </row>
    <row r="33" spans="2:15" ht="17" x14ac:dyDescent="0.25">
      <c r="B33" s="1" t="s">
        <v>6</v>
      </c>
      <c r="C33">
        <f>MAX(C4:C31)</f>
        <v>3969726</v>
      </c>
      <c r="E33">
        <f>MAX(E4:E31)</f>
        <v>3963737</v>
      </c>
      <c r="G33">
        <f>MAX(G4:G31)</f>
        <v>3340990</v>
      </c>
      <c r="I33">
        <f>MAX(I4:I31)</f>
        <v>4296788</v>
      </c>
      <c r="M33">
        <f>MAX(M4:M31)</f>
        <v>2889243</v>
      </c>
      <c r="N33">
        <f>MAX(N4:N31)</f>
        <v>4968535</v>
      </c>
      <c r="O33">
        <f>SUM(O4:O31)</f>
        <v>10149217</v>
      </c>
    </row>
    <row r="34" spans="2:15" ht="17" x14ac:dyDescent="0.25">
      <c r="B34" s="1" t="s">
        <v>7</v>
      </c>
      <c r="C34">
        <f>MIN(C4:C31)</f>
        <v>2936</v>
      </c>
      <c r="E34">
        <f>MIN(E4:E31)</f>
        <v>190833</v>
      </c>
      <c r="G34">
        <f>MIN(G4:G31)</f>
        <v>-1018858</v>
      </c>
      <c r="I34">
        <f>MIN(I4:I31)</f>
        <v>-169389</v>
      </c>
      <c r="M34">
        <f>MIN(M4:M31)</f>
        <v>-173696</v>
      </c>
      <c r="N34">
        <f>MIN(N4:N31)</f>
        <v>0</v>
      </c>
    </row>
    <row r="36" spans="2:15" x14ac:dyDescent="0.2">
      <c r="M36" s="3" t="s">
        <v>12</v>
      </c>
      <c r="N36" s="3">
        <f>N33-M34</f>
        <v>5142231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3D18-11CE-C242-9242-FFCD5111A9F4}">
  <sheetPr codeName="Sheet4"/>
  <dimension ref="A1:DO43"/>
  <sheetViews>
    <sheetView workbookViewId="0">
      <selection activeCell="B1" sqref="B1"/>
    </sheetView>
  </sheetViews>
  <sheetFormatPr baseColWidth="10" defaultRowHeight="16" x14ac:dyDescent="0.2"/>
  <cols>
    <col min="2" max="2" width="23.33203125" customWidth="1"/>
    <col min="3" max="3" width="8.1640625" bestFit="1" customWidth="1"/>
    <col min="4" max="4" width="2.5" bestFit="1" customWidth="1"/>
    <col min="5" max="5" width="8.1640625" bestFit="1" customWidth="1"/>
    <col min="6" max="6" width="19.1640625" bestFit="1" customWidth="1"/>
    <col min="7" max="7" width="8.83203125" bestFit="1" customWidth="1"/>
    <col min="8" max="8" width="2.5" bestFit="1" customWidth="1"/>
  </cols>
  <sheetData>
    <row r="1" spans="1:119" x14ac:dyDescent="0.2">
      <c r="A1" s="3" t="s">
        <v>13</v>
      </c>
      <c r="B1" s="5">
        <v>10884459367718</v>
      </c>
      <c r="C1">
        <v>3</v>
      </c>
      <c r="D1">
        <f t="shared" ref="C1:J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v>3367718</v>
      </c>
      <c r="L1">
        <f>J1+2</f>
        <v>12</v>
      </c>
      <c r="M1">
        <f>L1+1</f>
        <v>13</v>
      </c>
      <c r="N1">
        <f>M1+1</f>
        <v>14</v>
      </c>
      <c r="O1">
        <f>N1+1</f>
        <v>15</v>
      </c>
      <c r="P1">
        <f t="shared" ref="P1:V1" si="1">O1+1</f>
        <v>16</v>
      </c>
      <c r="Q1">
        <f t="shared" si="1"/>
        <v>17</v>
      </c>
      <c r="R1">
        <f t="shared" si="1"/>
        <v>18</v>
      </c>
      <c r="S1">
        <f t="shared" si="1"/>
        <v>19</v>
      </c>
      <c r="T1">
        <f t="shared" si="1"/>
        <v>20</v>
      </c>
    </row>
    <row r="2" spans="1:119" x14ac:dyDescent="0.2">
      <c r="E2" t="s">
        <v>5</v>
      </c>
      <c r="F2" t="s">
        <v>3</v>
      </c>
      <c r="J2" t="s">
        <v>8</v>
      </c>
      <c r="M2" t="s">
        <v>9</v>
      </c>
      <c r="N2" t="s">
        <v>10</v>
      </c>
    </row>
    <row r="3" spans="1:119" x14ac:dyDescent="0.2">
      <c r="F3" t="s">
        <v>4</v>
      </c>
    </row>
    <row r="4" spans="1:119" x14ac:dyDescent="0.2">
      <c r="B4" s="4" t="str">
        <f>'Part 1'!B4</f>
        <v>Sensor at x</v>
      </c>
      <c r="C4" s="4">
        <f>'Part 1'!C4</f>
        <v>3088287</v>
      </c>
      <c r="D4" s="4" t="str">
        <f>'Part 1'!D4</f>
        <v xml:space="preserve"> y</v>
      </c>
      <c r="E4" s="4">
        <f>'Part 1'!E4</f>
        <v>2966967</v>
      </c>
      <c r="F4" s="4" t="str">
        <f>'Part 1'!F4</f>
        <v xml:space="preserve"> closest beacon is at x</v>
      </c>
      <c r="G4" s="4">
        <f>'Part 1'!G4</f>
        <v>3340990</v>
      </c>
      <c r="H4" s="4" t="str">
        <f>'Part 1'!H4</f>
        <v xml:space="preserve"> y</v>
      </c>
      <c r="I4" s="4">
        <f>'Part 1'!I4</f>
        <v>2451747</v>
      </c>
      <c r="J4" s="4">
        <f>'Part 1'!J4</f>
        <v>767923</v>
      </c>
      <c r="K4">
        <f t="shared" ref="K4:K31" si="2">IF(ABS($K$1-E4)-J4&lt;0,ABS($K$1-E4),"")</f>
        <v>400751</v>
      </c>
      <c r="L4">
        <f>IF(K4&lt;&gt;"",J4-K4,"")</f>
        <v>367172</v>
      </c>
      <c r="M4" s="4">
        <f>IF(K4&lt;&gt;"",IF(C4-L4&gt;0,C4-L4,0),0)</f>
        <v>2721115</v>
      </c>
      <c r="N4" s="4">
        <f>IF(K4&lt;&gt;"",IF(C4+L4&gt;4000000,4000000,C4+L4),0)</f>
        <v>3455459</v>
      </c>
      <c r="Q4">
        <v>0</v>
      </c>
      <c r="R4">
        <v>0</v>
      </c>
      <c r="S4">
        <v>2213193</v>
      </c>
      <c r="T4">
        <v>367172</v>
      </c>
      <c r="DO4">
        <v>2966967</v>
      </c>
    </row>
    <row r="5" spans="1:119" s="3" customFormat="1" x14ac:dyDescent="0.2">
      <c r="B5" s="4" t="str">
        <f>'Part 1'!B5</f>
        <v>Sensor at x</v>
      </c>
      <c r="C5" s="4">
        <f>'Part 1'!C5</f>
        <v>289570</v>
      </c>
      <c r="D5" s="4" t="str">
        <f>'Part 1'!D5</f>
        <v xml:space="preserve"> y</v>
      </c>
      <c r="E5" s="4">
        <f>'Part 1'!E5</f>
        <v>339999</v>
      </c>
      <c r="F5" s="4" t="str">
        <f>'Part 1'!F5</f>
        <v xml:space="preserve"> closest beacon is at x</v>
      </c>
      <c r="G5" s="4">
        <f>'Part 1'!G5</f>
        <v>20077</v>
      </c>
      <c r="H5" s="4" t="str">
        <f>'Part 1'!H5</f>
        <v xml:space="preserve"> y</v>
      </c>
      <c r="I5" s="4">
        <f>'Part 1'!I5</f>
        <v>1235084</v>
      </c>
      <c r="J5" s="4">
        <f>'Part 1'!J5</f>
        <v>1164578</v>
      </c>
      <c r="K5" t="str">
        <f t="shared" si="2"/>
        <v/>
      </c>
      <c r="L5" t="str">
        <f t="shared" ref="L5:L31" si="3">IF(K5&lt;&gt;"",J5-K5,"")</f>
        <v/>
      </c>
      <c r="M5" s="4">
        <f t="shared" ref="M5:M31" si="4">IF(K5&lt;&gt;"",IF(C5-L5&gt;0,C5-L5,0),0)</f>
        <v>0</v>
      </c>
      <c r="N5" s="4">
        <f t="shared" ref="N5:N31" si="5">IF(K5&lt;&gt;"",IF(C5+L5&gt;4000000,4000000,C5+L5),0)</f>
        <v>0</v>
      </c>
      <c r="O5"/>
      <c r="Q5" s="3">
        <v>0</v>
      </c>
      <c r="R5" s="3">
        <v>0</v>
      </c>
      <c r="S5" s="3">
        <v>2213193</v>
      </c>
      <c r="T5" s="3">
        <v>0</v>
      </c>
      <c r="DO5" s="3">
        <v>339999</v>
      </c>
    </row>
    <row r="6" spans="1:119" x14ac:dyDescent="0.2">
      <c r="B6" s="4" t="str">
        <f>'Part 1'!B6</f>
        <v>Sensor at x</v>
      </c>
      <c r="C6" s="4">
        <f>'Part 1'!C6</f>
        <v>1940197</v>
      </c>
      <c r="D6" s="4" t="str">
        <f>'Part 1'!D6</f>
        <v xml:space="preserve"> y</v>
      </c>
      <c r="E6" s="4">
        <f>'Part 1'!E6</f>
        <v>3386754</v>
      </c>
      <c r="F6" s="4" t="str">
        <f>'Part 1'!F6</f>
        <v xml:space="preserve"> closest beacon is at x</v>
      </c>
      <c r="G6" s="4">
        <f>'Part 1'!G6</f>
        <v>2010485</v>
      </c>
      <c r="H6" s="4" t="str">
        <f>'Part 1'!H6</f>
        <v xml:space="preserve"> y</v>
      </c>
      <c r="I6" s="4">
        <f>'Part 1'!I6</f>
        <v>3291030</v>
      </c>
      <c r="J6" s="4">
        <f>'Part 1'!J6</f>
        <v>166012</v>
      </c>
      <c r="K6">
        <f t="shared" si="2"/>
        <v>19036</v>
      </c>
      <c r="L6">
        <f t="shared" si="3"/>
        <v>146976</v>
      </c>
      <c r="M6" s="4">
        <f t="shared" si="4"/>
        <v>1793221</v>
      </c>
      <c r="N6" s="4">
        <f t="shared" si="5"/>
        <v>2087173</v>
      </c>
      <c r="Q6">
        <v>0</v>
      </c>
      <c r="R6">
        <v>0</v>
      </c>
      <c r="S6">
        <v>2213193</v>
      </c>
      <c r="T6">
        <v>146976</v>
      </c>
      <c r="DO6">
        <v>3386754</v>
      </c>
    </row>
    <row r="7" spans="1:119" x14ac:dyDescent="0.2">
      <c r="B7" s="4" t="str">
        <f>'Part 1'!B7</f>
        <v>Sensor at x</v>
      </c>
      <c r="C7" s="4">
        <f>'Part 1'!C7</f>
        <v>1979355</v>
      </c>
      <c r="D7" s="4" t="str">
        <f>'Part 1'!D7</f>
        <v xml:space="preserve"> y</v>
      </c>
      <c r="E7" s="4">
        <f>'Part 1'!E7</f>
        <v>2150711</v>
      </c>
      <c r="F7" s="4" t="str">
        <f>'Part 1'!F7</f>
        <v xml:space="preserve"> closest beacon is at x</v>
      </c>
      <c r="G7" s="4">
        <f>'Part 1'!G7</f>
        <v>1690952</v>
      </c>
      <c r="H7" s="4" t="str">
        <f>'Part 1'!H7</f>
        <v xml:space="preserve"> y</v>
      </c>
      <c r="I7" s="4">
        <f>'Part 1'!I7</f>
        <v>2000000</v>
      </c>
      <c r="J7" s="4">
        <f>'Part 1'!J7</f>
        <v>439114</v>
      </c>
      <c r="K7" t="str">
        <f t="shared" si="2"/>
        <v/>
      </c>
      <c r="L7" t="str">
        <f t="shared" si="3"/>
        <v/>
      </c>
      <c r="M7" s="4">
        <f t="shared" si="4"/>
        <v>0</v>
      </c>
      <c r="N7" s="4">
        <f t="shared" si="5"/>
        <v>0</v>
      </c>
      <c r="Q7">
        <v>0</v>
      </c>
      <c r="R7">
        <v>0</v>
      </c>
      <c r="S7">
        <v>2213193</v>
      </c>
      <c r="T7">
        <v>0</v>
      </c>
      <c r="DO7">
        <v>2150711</v>
      </c>
    </row>
    <row r="8" spans="1:119" x14ac:dyDescent="0.2">
      <c r="B8" s="4" t="str">
        <f>'Part 1'!B8</f>
        <v>Sensor at x</v>
      </c>
      <c r="C8" s="4">
        <f>'Part 1'!C8</f>
        <v>2859415</v>
      </c>
      <c r="D8" s="4" t="str">
        <f>'Part 1'!D8</f>
        <v xml:space="preserve"> y</v>
      </c>
      <c r="E8" s="4">
        <f>'Part 1'!E8</f>
        <v>1555438</v>
      </c>
      <c r="F8" s="4" t="str">
        <f>'Part 1'!F8</f>
        <v xml:space="preserve"> closest beacon is at x</v>
      </c>
      <c r="G8" s="4">
        <f>'Part 1'!G8</f>
        <v>3340990</v>
      </c>
      <c r="H8" s="4" t="str">
        <f>'Part 1'!H8</f>
        <v xml:space="preserve"> y</v>
      </c>
      <c r="I8" s="4">
        <f>'Part 1'!I8</f>
        <v>2451747</v>
      </c>
      <c r="J8" s="4">
        <f>'Part 1'!J8</f>
        <v>1377884</v>
      </c>
      <c r="K8" t="str">
        <f t="shared" si="2"/>
        <v/>
      </c>
      <c r="L8" t="str">
        <f t="shared" si="3"/>
        <v/>
      </c>
      <c r="M8" s="4">
        <f t="shared" si="4"/>
        <v>0</v>
      </c>
      <c r="N8" s="4">
        <f t="shared" si="5"/>
        <v>0</v>
      </c>
      <c r="Q8">
        <v>0</v>
      </c>
      <c r="R8">
        <v>0</v>
      </c>
      <c r="S8">
        <v>2213193</v>
      </c>
      <c r="T8">
        <v>0</v>
      </c>
      <c r="DO8">
        <v>1555438</v>
      </c>
    </row>
    <row r="9" spans="1:119" x14ac:dyDescent="0.2">
      <c r="B9" s="4" t="str">
        <f>'Part 1'!B9</f>
        <v>Sensor at x</v>
      </c>
      <c r="C9" s="4">
        <f>'Part 1'!C9</f>
        <v>1015582</v>
      </c>
      <c r="D9" s="4" t="str">
        <f>'Part 1'!D9</f>
        <v xml:space="preserve"> y</v>
      </c>
      <c r="E9" s="4">
        <f>'Part 1'!E9</f>
        <v>2054755</v>
      </c>
      <c r="F9" s="4" t="str">
        <f>'Part 1'!F9</f>
        <v xml:space="preserve"> closest beacon is at x</v>
      </c>
      <c r="G9" s="4">
        <f>'Part 1'!G9</f>
        <v>1690952</v>
      </c>
      <c r="H9" s="4" t="str">
        <f>'Part 1'!H9</f>
        <v xml:space="preserve"> y</v>
      </c>
      <c r="I9" s="4">
        <f>'Part 1'!I9</f>
        <v>2000000</v>
      </c>
      <c r="J9" s="4">
        <f>'Part 1'!J9</f>
        <v>730125</v>
      </c>
      <c r="K9" t="str">
        <f t="shared" si="2"/>
        <v/>
      </c>
      <c r="L9" t="str">
        <f t="shared" si="3"/>
        <v/>
      </c>
      <c r="M9" s="4">
        <f t="shared" si="4"/>
        <v>0</v>
      </c>
      <c r="N9" s="4">
        <f t="shared" si="5"/>
        <v>0</v>
      </c>
      <c r="Q9">
        <v>0</v>
      </c>
      <c r="R9">
        <v>0</v>
      </c>
      <c r="S9">
        <v>2213193</v>
      </c>
      <c r="T9">
        <v>0</v>
      </c>
      <c r="DO9">
        <v>2054755</v>
      </c>
    </row>
    <row r="10" spans="1:119" s="2" customFormat="1" x14ac:dyDescent="0.2">
      <c r="B10" s="4" t="str">
        <f>'Part 1'!B10</f>
        <v>Sensor at x</v>
      </c>
      <c r="C10" s="4">
        <f>'Part 1'!C10</f>
        <v>1794782</v>
      </c>
      <c r="D10" s="4" t="str">
        <f>'Part 1'!D10</f>
        <v xml:space="preserve"> y</v>
      </c>
      <c r="E10" s="4">
        <f>'Part 1'!E10</f>
        <v>3963737</v>
      </c>
      <c r="F10" s="4" t="str">
        <f>'Part 1'!F10</f>
        <v xml:space="preserve"> closest beacon is at x</v>
      </c>
      <c r="G10" s="4">
        <f>'Part 1'!G10</f>
        <v>2183727</v>
      </c>
      <c r="H10" s="4" t="str">
        <f>'Part 1'!H10</f>
        <v xml:space="preserve"> y</v>
      </c>
      <c r="I10" s="4">
        <f>'Part 1'!I10</f>
        <v>4148084</v>
      </c>
      <c r="J10" s="4">
        <f>'Part 1'!J10</f>
        <v>573292</v>
      </c>
      <c r="K10" t="str">
        <f t="shared" si="2"/>
        <v/>
      </c>
      <c r="L10" t="str">
        <f t="shared" si="3"/>
        <v/>
      </c>
      <c r="M10" s="4">
        <f t="shared" si="4"/>
        <v>0</v>
      </c>
      <c r="N10" s="4">
        <f t="shared" si="5"/>
        <v>0</v>
      </c>
      <c r="O10"/>
      <c r="Q10">
        <v>0</v>
      </c>
      <c r="R10" s="2">
        <v>0</v>
      </c>
      <c r="S10" s="2">
        <v>2213193</v>
      </c>
      <c r="T10" s="2">
        <v>0</v>
      </c>
      <c r="W10"/>
      <c r="X10"/>
      <c r="DO10" s="2">
        <v>3963737</v>
      </c>
    </row>
    <row r="11" spans="1:119" x14ac:dyDescent="0.2">
      <c r="B11" s="4" t="str">
        <f>'Part 1'!B11</f>
        <v>Sensor at x</v>
      </c>
      <c r="C11" s="4">
        <f>'Part 1'!C11</f>
        <v>2357608</v>
      </c>
      <c r="D11" s="4" t="str">
        <f>'Part 1'!D11</f>
        <v xml:space="preserve"> y</v>
      </c>
      <c r="E11" s="4">
        <f>'Part 1'!E11</f>
        <v>2559811</v>
      </c>
      <c r="F11" s="4" t="str">
        <f>'Part 1'!F11</f>
        <v xml:space="preserve"> closest beacon is at x</v>
      </c>
      <c r="G11" s="4">
        <f>'Part 1'!G11</f>
        <v>2010485</v>
      </c>
      <c r="H11" s="4" t="str">
        <f>'Part 1'!H11</f>
        <v xml:space="preserve"> y</v>
      </c>
      <c r="I11" s="4">
        <f>'Part 1'!I11</f>
        <v>3291030</v>
      </c>
      <c r="J11" s="4">
        <f>'Part 1'!J11</f>
        <v>1078342</v>
      </c>
      <c r="K11">
        <f t="shared" si="2"/>
        <v>807907</v>
      </c>
      <c r="L11">
        <f t="shared" si="3"/>
        <v>270435</v>
      </c>
      <c r="M11" s="4">
        <f t="shared" si="4"/>
        <v>2087173</v>
      </c>
      <c r="N11" s="4">
        <f t="shared" si="5"/>
        <v>2628043</v>
      </c>
      <c r="Q11">
        <v>0</v>
      </c>
      <c r="R11">
        <v>0</v>
      </c>
      <c r="S11">
        <v>2213193</v>
      </c>
      <c r="T11">
        <v>270435</v>
      </c>
      <c r="DO11">
        <v>2559811</v>
      </c>
    </row>
    <row r="12" spans="1:119" x14ac:dyDescent="0.2">
      <c r="B12" s="4" t="str">
        <f>'Part 1'!B12</f>
        <v>Sensor at x</v>
      </c>
      <c r="C12" s="4">
        <f>'Part 1'!C12</f>
        <v>2936</v>
      </c>
      <c r="D12" s="4" t="str">
        <f>'Part 1'!D12</f>
        <v xml:space="preserve"> y</v>
      </c>
      <c r="E12" s="4">
        <f>'Part 1'!E12</f>
        <v>1218210</v>
      </c>
      <c r="F12" s="4" t="str">
        <f>'Part 1'!F12</f>
        <v xml:space="preserve"> closest beacon is at x</v>
      </c>
      <c r="G12" s="4">
        <f>'Part 1'!G12</f>
        <v>20077</v>
      </c>
      <c r="H12" s="4" t="str">
        <f>'Part 1'!H12</f>
        <v xml:space="preserve"> y</v>
      </c>
      <c r="I12" s="4">
        <f>'Part 1'!I12</f>
        <v>1235084</v>
      </c>
      <c r="J12" s="4">
        <f>'Part 1'!J12</f>
        <v>34015</v>
      </c>
      <c r="K12" t="str">
        <f t="shared" si="2"/>
        <v/>
      </c>
      <c r="L12" t="str">
        <f t="shared" si="3"/>
        <v/>
      </c>
      <c r="M12" s="4">
        <f t="shared" si="4"/>
        <v>0</v>
      </c>
      <c r="N12" s="4">
        <f t="shared" si="5"/>
        <v>0</v>
      </c>
      <c r="Q12">
        <v>0</v>
      </c>
      <c r="R12">
        <v>0</v>
      </c>
      <c r="S12">
        <v>2213193</v>
      </c>
      <c r="T12">
        <v>0</v>
      </c>
      <c r="DO12">
        <v>1218210</v>
      </c>
    </row>
    <row r="13" spans="1:119" x14ac:dyDescent="0.2">
      <c r="B13" s="4" t="str">
        <f>'Part 1'!B13</f>
        <v>Sensor at x</v>
      </c>
      <c r="C13" s="4">
        <f>'Part 1'!C13</f>
        <v>2404143</v>
      </c>
      <c r="D13" s="4" t="str">
        <f>'Part 1'!D13</f>
        <v xml:space="preserve"> y</v>
      </c>
      <c r="E13" s="4">
        <f>'Part 1'!E13</f>
        <v>3161036</v>
      </c>
      <c r="F13" s="4" t="str">
        <f>'Part 1'!F13</f>
        <v xml:space="preserve"> closest beacon is at x</v>
      </c>
      <c r="G13" s="4">
        <f>'Part 1'!G13</f>
        <v>2010485</v>
      </c>
      <c r="H13" s="4" t="str">
        <f>'Part 1'!H13</f>
        <v xml:space="preserve"> y</v>
      </c>
      <c r="I13" s="4">
        <f>'Part 1'!I13</f>
        <v>3291030</v>
      </c>
      <c r="J13" s="4">
        <f>'Part 1'!J13</f>
        <v>523652</v>
      </c>
      <c r="K13">
        <f t="shared" si="2"/>
        <v>206682</v>
      </c>
      <c r="L13">
        <f t="shared" si="3"/>
        <v>316970</v>
      </c>
      <c r="M13" s="4">
        <f t="shared" si="4"/>
        <v>2087173</v>
      </c>
      <c r="N13" s="4">
        <f t="shared" si="5"/>
        <v>2721113</v>
      </c>
      <c r="Q13">
        <v>0</v>
      </c>
      <c r="R13">
        <v>0</v>
      </c>
      <c r="S13">
        <v>2213193</v>
      </c>
      <c r="T13">
        <v>316970</v>
      </c>
      <c r="DO13">
        <v>3161036</v>
      </c>
    </row>
    <row r="14" spans="1:119" x14ac:dyDescent="0.2">
      <c r="B14" s="4" t="str">
        <f>'Part 1'!B14</f>
        <v>Sensor at x</v>
      </c>
      <c r="C14" s="4">
        <f>'Part 1'!C14</f>
        <v>12522</v>
      </c>
      <c r="D14" s="4" t="str">
        <f>'Part 1'!D14</f>
        <v xml:space="preserve"> y</v>
      </c>
      <c r="E14" s="4">
        <f>'Part 1'!E14</f>
        <v>1706324</v>
      </c>
      <c r="F14" s="4" t="str">
        <f>'Part 1'!F14</f>
        <v xml:space="preserve"> closest beacon is at x</v>
      </c>
      <c r="G14" s="4">
        <f>'Part 1'!G14</f>
        <v>20077</v>
      </c>
      <c r="H14" s="4" t="str">
        <f>'Part 1'!H14</f>
        <v xml:space="preserve"> y</v>
      </c>
      <c r="I14" s="4">
        <f>'Part 1'!I14</f>
        <v>1235084</v>
      </c>
      <c r="J14" s="4">
        <f>'Part 1'!J14</f>
        <v>478795</v>
      </c>
      <c r="K14" t="str">
        <f t="shared" si="2"/>
        <v/>
      </c>
      <c r="L14" t="str">
        <f t="shared" si="3"/>
        <v/>
      </c>
      <c r="M14" s="4">
        <f t="shared" si="4"/>
        <v>0</v>
      </c>
      <c r="N14" s="4">
        <f t="shared" si="5"/>
        <v>0</v>
      </c>
      <c r="Q14">
        <v>0</v>
      </c>
      <c r="R14">
        <v>0</v>
      </c>
      <c r="S14">
        <v>2213193</v>
      </c>
      <c r="T14">
        <v>0</v>
      </c>
      <c r="DO14">
        <v>1706324</v>
      </c>
    </row>
    <row r="15" spans="1:119" x14ac:dyDescent="0.2">
      <c r="B15" s="4" t="str">
        <f>'Part 1'!B15</f>
        <v>Sensor at x</v>
      </c>
      <c r="C15" s="4">
        <f>'Part 1'!C15</f>
        <v>1989162</v>
      </c>
      <c r="D15" s="4" t="str">
        <f>'Part 1'!D15</f>
        <v xml:space="preserve"> y</v>
      </c>
      <c r="E15" s="4">
        <f>'Part 1'!E15</f>
        <v>3317864</v>
      </c>
      <c r="F15" s="4" t="str">
        <f>'Part 1'!F15</f>
        <v xml:space="preserve"> closest beacon is at x</v>
      </c>
      <c r="G15" s="4">
        <f>'Part 1'!G15</f>
        <v>2010485</v>
      </c>
      <c r="H15" s="4" t="str">
        <f>'Part 1'!H15</f>
        <v xml:space="preserve"> y</v>
      </c>
      <c r="I15" s="4">
        <f>'Part 1'!I15</f>
        <v>3291030</v>
      </c>
      <c r="J15" s="4">
        <f>'Part 1'!J15</f>
        <v>48157</v>
      </c>
      <c r="K15" t="str">
        <f t="shared" si="2"/>
        <v/>
      </c>
      <c r="L15" t="str">
        <f t="shared" si="3"/>
        <v/>
      </c>
      <c r="M15" s="4">
        <f t="shared" si="4"/>
        <v>0</v>
      </c>
      <c r="N15" s="4">
        <f t="shared" si="5"/>
        <v>0</v>
      </c>
      <c r="Q15">
        <v>0</v>
      </c>
      <c r="R15">
        <v>0</v>
      </c>
      <c r="S15">
        <v>2213193</v>
      </c>
      <c r="T15">
        <v>0</v>
      </c>
      <c r="DO15">
        <v>3317864</v>
      </c>
    </row>
    <row r="16" spans="1:119" x14ac:dyDescent="0.2">
      <c r="B16" s="4" t="str">
        <f>'Part 1'!B16</f>
        <v>Sensor at x</v>
      </c>
      <c r="C16" s="4">
        <f>'Part 1'!C16</f>
        <v>167388</v>
      </c>
      <c r="D16" s="4" t="str">
        <f>'Part 1'!D16</f>
        <v xml:space="preserve"> y</v>
      </c>
      <c r="E16" s="4">
        <f>'Part 1'!E16</f>
        <v>3570975</v>
      </c>
      <c r="F16" s="4" t="str">
        <f>'Part 1'!F16</f>
        <v xml:space="preserve"> closest beacon is at x</v>
      </c>
      <c r="G16" s="4">
        <f>'Part 1'!G16</f>
        <v>-1018858</v>
      </c>
      <c r="H16" s="4" t="str">
        <f>'Part 1'!H16</f>
        <v xml:space="preserve"> y</v>
      </c>
      <c r="I16" s="4">
        <f>'Part 1'!I16</f>
        <v>4296788</v>
      </c>
      <c r="J16" s="4">
        <f>'Part 1'!J16</f>
        <v>1912059</v>
      </c>
      <c r="K16">
        <f t="shared" si="2"/>
        <v>203257</v>
      </c>
      <c r="L16">
        <f t="shared" si="3"/>
        <v>1708802</v>
      </c>
      <c r="M16" s="4">
        <f t="shared" si="4"/>
        <v>0</v>
      </c>
      <c r="N16" s="4">
        <f t="shared" si="5"/>
        <v>1876190</v>
      </c>
      <c r="Q16">
        <v>0</v>
      </c>
      <c r="R16">
        <v>0</v>
      </c>
      <c r="S16">
        <v>2213193</v>
      </c>
      <c r="T16">
        <v>1708802</v>
      </c>
      <c r="DO16">
        <v>3570975</v>
      </c>
    </row>
    <row r="17" spans="2:119" x14ac:dyDescent="0.2">
      <c r="B17" s="4" t="str">
        <f>'Part 1'!B17</f>
        <v>Sensor at x</v>
      </c>
      <c r="C17" s="4">
        <f>'Part 1'!C17</f>
        <v>1586527</v>
      </c>
      <c r="D17" s="4" t="str">
        <f>'Part 1'!D17</f>
        <v xml:space="preserve"> y</v>
      </c>
      <c r="E17" s="4">
        <f>'Part 1'!E17</f>
        <v>2233885</v>
      </c>
      <c r="F17" s="4" t="str">
        <f>'Part 1'!F17</f>
        <v xml:space="preserve"> closest beacon is at x</v>
      </c>
      <c r="G17" s="4">
        <f>'Part 1'!G17</f>
        <v>1690952</v>
      </c>
      <c r="H17" s="4" t="str">
        <f>'Part 1'!H17</f>
        <v xml:space="preserve"> y</v>
      </c>
      <c r="I17" s="4">
        <f>'Part 1'!I17</f>
        <v>2000000</v>
      </c>
      <c r="J17" s="4">
        <f>'Part 1'!J17</f>
        <v>338310</v>
      </c>
      <c r="K17" t="str">
        <f t="shared" si="2"/>
        <v/>
      </c>
      <c r="L17" t="str">
        <f t="shared" si="3"/>
        <v/>
      </c>
      <c r="M17" s="4">
        <f t="shared" si="4"/>
        <v>0</v>
      </c>
      <c r="N17" s="4">
        <f t="shared" si="5"/>
        <v>0</v>
      </c>
      <c r="Q17">
        <v>0</v>
      </c>
      <c r="R17">
        <v>0</v>
      </c>
      <c r="S17">
        <v>2213193</v>
      </c>
      <c r="T17">
        <v>0</v>
      </c>
      <c r="DO17">
        <v>2233885</v>
      </c>
    </row>
    <row r="18" spans="2:119" x14ac:dyDescent="0.2">
      <c r="B18" s="4" t="str">
        <f>'Part 1'!B18</f>
        <v>Sensor at x</v>
      </c>
      <c r="C18" s="4">
        <f>'Part 1'!C18</f>
        <v>746571</v>
      </c>
      <c r="D18" s="4" t="str">
        <f>'Part 1'!D18</f>
        <v xml:space="preserve"> y</v>
      </c>
      <c r="E18" s="4">
        <f>'Part 1'!E18</f>
        <v>1442967</v>
      </c>
      <c r="F18" s="4" t="str">
        <f>'Part 1'!F18</f>
        <v xml:space="preserve"> closest beacon is at x</v>
      </c>
      <c r="G18" s="4">
        <f>'Part 1'!G18</f>
        <v>20077</v>
      </c>
      <c r="H18" s="4" t="str">
        <f>'Part 1'!H18</f>
        <v xml:space="preserve"> y</v>
      </c>
      <c r="I18" s="4">
        <f>'Part 1'!I18</f>
        <v>1235084</v>
      </c>
      <c r="J18" s="4">
        <f>'Part 1'!J18</f>
        <v>934377</v>
      </c>
      <c r="K18" t="str">
        <f t="shared" si="2"/>
        <v/>
      </c>
      <c r="L18" t="str">
        <f t="shared" si="3"/>
        <v/>
      </c>
      <c r="M18" s="4">
        <f t="shared" si="4"/>
        <v>0</v>
      </c>
      <c r="N18" s="4">
        <f t="shared" si="5"/>
        <v>0</v>
      </c>
      <c r="Q18">
        <v>0</v>
      </c>
      <c r="R18">
        <v>0</v>
      </c>
      <c r="S18">
        <v>2213193</v>
      </c>
      <c r="T18">
        <v>0</v>
      </c>
      <c r="DO18">
        <v>1442967</v>
      </c>
    </row>
    <row r="19" spans="2:119" x14ac:dyDescent="0.2">
      <c r="B19" s="4" t="str">
        <f>'Part 1'!B19</f>
        <v>Sensor at x</v>
      </c>
      <c r="C19" s="4">
        <f>'Part 1'!C19</f>
        <v>3969726</v>
      </c>
      <c r="D19" s="4" t="str">
        <f>'Part 1'!D19</f>
        <v xml:space="preserve"> y</v>
      </c>
      <c r="E19" s="4">
        <f>'Part 1'!E19</f>
        <v>3857699</v>
      </c>
      <c r="F19" s="4" t="str">
        <f>'Part 1'!F19</f>
        <v xml:space="preserve"> closest beacon is at x</v>
      </c>
      <c r="G19" s="4">
        <f>'Part 1'!G19</f>
        <v>3207147</v>
      </c>
      <c r="H19" s="4" t="str">
        <f>'Part 1'!H19</f>
        <v xml:space="preserve"> y</v>
      </c>
      <c r="I19" s="4">
        <f>'Part 1'!I19</f>
        <v>4217920</v>
      </c>
      <c r="J19" s="4">
        <f>'Part 1'!J19</f>
        <v>1122800</v>
      </c>
      <c r="K19">
        <f t="shared" si="2"/>
        <v>489981</v>
      </c>
      <c r="L19">
        <f t="shared" si="3"/>
        <v>632819</v>
      </c>
      <c r="M19" s="4">
        <f t="shared" si="4"/>
        <v>3336907</v>
      </c>
      <c r="N19" s="4">
        <f t="shared" si="5"/>
        <v>4000000</v>
      </c>
      <c r="Q19">
        <v>0</v>
      </c>
      <c r="R19">
        <v>0</v>
      </c>
      <c r="S19">
        <v>2213193</v>
      </c>
      <c r="T19">
        <v>632819</v>
      </c>
      <c r="DO19">
        <v>3857699</v>
      </c>
    </row>
    <row r="20" spans="2:119" x14ac:dyDescent="0.2">
      <c r="B20" s="4" t="str">
        <f>'Part 1'!B20</f>
        <v>Sensor at x</v>
      </c>
      <c r="C20" s="4">
        <f>'Part 1'!C20</f>
        <v>1403393</v>
      </c>
      <c r="D20" s="4" t="str">
        <f>'Part 1'!D20</f>
        <v xml:space="preserve"> y</v>
      </c>
      <c r="E20" s="4">
        <f>'Part 1'!E20</f>
        <v>2413121</v>
      </c>
      <c r="F20" s="4" t="str">
        <f>'Part 1'!F20</f>
        <v xml:space="preserve"> closest beacon is at x</v>
      </c>
      <c r="G20" s="4">
        <f>'Part 1'!G20</f>
        <v>1690952</v>
      </c>
      <c r="H20" s="4" t="str">
        <f>'Part 1'!H20</f>
        <v xml:space="preserve"> y</v>
      </c>
      <c r="I20" s="4">
        <f>'Part 1'!I20</f>
        <v>2000000</v>
      </c>
      <c r="J20" s="4">
        <f>'Part 1'!J20</f>
        <v>700680</v>
      </c>
      <c r="K20" t="str">
        <f t="shared" si="2"/>
        <v/>
      </c>
      <c r="L20" t="str">
        <f t="shared" si="3"/>
        <v/>
      </c>
      <c r="M20" s="4">
        <f t="shared" si="4"/>
        <v>0</v>
      </c>
      <c r="N20" s="4">
        <f t="shared" si="5"/>
        <v>0</v>
      </c>
      <c r="Q20">
        <v>0</v>
      </c>
      <c r="R20">
        <v>0</v>
      </c>
      <c r="S20">
        <v>2213193</v>
      </c>
      <c r="T20">
        <v>0</v>
      </c>
      <c r="DO20">
        <v>2413121</v>
      </c>
    </row>
    <row r="21" spans="2:119" x14ac:dyDescent="0.2">
      <c r="B21" s="4" t="str">
        <f>'Part 1'!B21</f>
        <v>Sensor at x</v>
      </c>
      <c r="C21" s="4">
        <f>'Part 1'!C21</f>
        <v>2343717</v>
      </c>
      <c r="D21" s="4" t="str">
        <f>'Part 1'!D21</f>
        <v xml:space="preserve"> y</v>
      </c>
      <c r="E21" s="4">
        <f>'Part 1'!E21</f>
        <v>3649198</v>
      </c>
      <c r="F21" s="4" t="str">
        <f>'Part 1'!F21</f>
        <v xml:space="preserve"> closest beacon is at x</v>
      </c>
      <c r="G21" s="4">
        <f>'Part 1'!G21</f>
        <v>2183727</v>
      </c>
      <c r="H21" s="4" t="str">
        <f>'Part 1'!H21</f>
        <v xml:space="preserve"> y</v>
      </c>
      <c r="I21" s="4">
        <f>'Part 1'!I21</f>
        <v>4148084</v>
      </c>
      <c r="J21" s="4">
        <f>'Part 1'!J21</f>
        <v>658876</v>
      </c>
      <c r="K21">
        <f t="shared" si="2"/>
        <v>281480</v>
      </c>
      <c r="L21">
        <f t="shared" si="3"/>
        <v>377396</v>
      </c>
      <c r="M21" s="4">
        <f t="shared" si="4"/>
        <v>1966321</v>
      </c>
      <c r="N21" s="4">
        <f t="shared" si="5"/>
        <v>2721113</v>
      </c>
      <c r="Q21">
        <v>0</v>
      </c>
      <c r="R21">
        <v>0</v>
      </c>
      <c r="S21">
        <v>2213193</v>
      </c>
      <c r="T21">
        <v>377396</v>
      </c>
      <c r="DO21">
        <v>3649198</v>
      </c>
    </row>
    <row r="22" spans="2:119" x14ac:dyDescent="0.2">
      <c r="B22" s="4" t="str">
        <f>'Part 1'!B22</f>
        <v>Sensor at x</v>
      </c>
      <c r="C22" s="4">
        <f>'Part 1'!C22</f>
        <v>1473424</v>
      </c>
      <c r="D22" s="4" t="str">
        <f>'Part 1'!D22</f>
        <v xml:space="preserve"> y</v>
      </c>
      <c r="E22" s="4">
        <f>'Part 1'!E22</f>
        <v>688269</v>
      </c>
      <c r="F22" s="4" t="str">
        <f>'Part 1'!F22</f>
        <v xml:space="preserve"> closest beacon is at x</v>
      </c>
      <c r="G22" s="4">
        <f>'Part 1'!G22</f>
        <v>2053598</v>
      </c>
      <c r="H22" s="4" t="str">
        <f>'Part 1'!H22</f>
        <v xml:space="preserve"> y</v>
      </c>
      <c r="I22" s="4">
        <f>'Part 1'!I22</f>
        <v>-169389</v>
      </c>
      <c r="J22" s="4">
        <f>'Part 1'!J22</f>
        <v>1437832</v>
      </c>
      <c r="K22" t="str">
        <f t="shared" si="2"/>
        <v/>
      </c>
      <c r="L22" t="str">
        <f t="shared" si="3"/>
        <v/>
      </c>
      <c r="M22" s="4">
        <f t="shared" si="4"/>
        <v>0</v>
      </c>
      <c r="N22" s="4">
        <f t="shared" si="5"/>
        <v>0</v>
      </c>
      <c r="Q22">
        <v>0</v>
      </c>
      <c r="R22">
        <v>0</v>
      </c>
      <c r="S22">
        <v>2213193</v>
      </c>
      <c r="T22">
        <v>0</v>
      </c>
      <c r="DO22">
        <v>688269</v>
      </c>
    </row>
    <row r="23" spans="2:119" x14ac:dyDescent="0.2">
      <c r="B23" s="4" t="str">
        <f>'Part 1'!B23</f>
        <v>Sensor at x</v>
      </c>
      <c r="C23" s="4">
        <f>'Part 1'!C23</f>
        <v>2669347</v>
      </c>
      <c r="D23" s="4" t="str">
        <f>'Part 1'!D23</f>
        <v xml:space="preserve"> y</v>
      </c>
      <c r="E23" s="4">
        <f>'Part 1'!E23</f>
        <v>190833</v>
      </c>
      <c r="F23" s="4" t="str">
        <f>'Part 1'!F23</f>
        <v xml:space="preserve"> closest beacon is at x</v>
      </c>
      <c r="G23" s="4">
        <f>'Part 1'!G23</f>
        <v>2053598</v>
      </c>
      <c r="H23" s="4" t="str">
        <f>'Part 1'!H23</f>
        <v xml:space="preserve"> y</v>
      </c>
      <c r="I23" s="4">
        <f>'Part 1'!I23</f>
        <v>-169389</v>
      </c>
      <c r="J23" s="4">
        <f>'Part 1'!J23</f>
        <v>975971</v>
      </c>
      <c r="K23" t="str">
        <f t="shared" si="2"/>
        <v/>
      </c>
      <c r="L23" t="str">
        <f t="shared" si="3"/>
        <v/>
      </c>
      <c r="M23" s="4">
        <f t="shared" si="4"/>
        <v>0</v>
      </c>
      <c r="N23" s="4">
        <f t="shared" si="5"/>
        <v>0</v>
      </c>
      <c r="Q23">
        <v>0</v>
      </c>
      <c r="R23">
        <v>1876190</v>
      </c>
      <c r="S23">
        <v>2213193</v>
      </c>
      <c r="T23">
        <v>0</v>
      </c>
      <c r="DO23">
        <v>190833</v>
      </c>
    </row>
    <row r="24" spans="2:119" x14ac:dyDescent="0.2">
      <c r="B24" s="4" t="str">
        <f>'Part 1'!B24</f>
        <v>Sensor at x</v>
      </c>
      <c r="C24" s="4">
        <f>'Part 1'!C24</f>
        <v>2973167</v>
      </c>
      <c r="D24" s="4" t="str">
        <f>'Part 1'!D24</f>
        <v xml:space="preserve"> y</v>
      </c>
      <c r="E24" s="4">
        <f>'Part 1'!E24</f>
        <v>3783783</v>
      </c>
      <c r="F24" s="4" t="str">
        <f>'Part 1'!F24</f>
        <v xml:space="preserve"> closest beacon is at x</v>
      </c>
      <c r="G24" s="4">
        <f>'Part 1'!G24</f>
        <v>3207147</v>
      </c>
      <c r="H24" s="4" t="str">
        <f>'Part 1'!H24</f>
        <v xml:space="preserve"> y</v>
      </c>
      <c r="I24" s="4">
        <f>'Part 1'!I24</f>
        <v>4217920</v>
      </c>
      <c r="J24" s="4">
        <f>'Part 1'!J24</f>
        <v>668117</v>
      </c>
      <c r="K24">
        <f t="shared" si="2"/>
        <v>416065</v>
      </c>
      <c r="L24">
        <f t="shared" si="3"/>
        <v>252052</v>
      </c>
      <c r="M24" s="4">
        <f t="shared" si="4"/>
        <v>2721115</v>
      </c>
      <c r="N24" s="4">
        <f t="shared" si="5"/>
        <v>3225219</v>
      </c>
      <c r="Q24">
        <v>1270651</v>
      </c>
      <c r="R24">
        <v>1933797</v>
      </c>
      <c r="S24">
        <v>2213193</v>
      </c>
      <c r="T24">
        <v>252052</v>
      </c>
      <c r="DO24">
        <v>3783783</v>
      </c>
    </row>
    <row r="25" spans="2:119" x14ac:dyDescent="0.2">
      <c r="B25" s="4" t="str">
        <f>'Part 1'!B25</f>
        <v>Sensor at x</v>
      </c>
      <c r="C25" s="4">
        <f>'Part 1'!C25</f>
        <v>2011835</v>
      </c>
      <c r="D25" s="4" t="str">
        <f>'Part 1'!D25</f>
        <v xml:space="preserve"> y</v>
      </c>
      <c r="E25" s="4">
        <f>'Part 1'!E25</f>
        <v>3314181</v>
      </c>
      <c r="F25" s="4" t="str">
        <f>'Part 1'!F25</f>
        <v xml:space="preserve"> closest beacon is at x</v>
      </c>
      <c r="G25" s="4">
        <f>'Part 1'!G25</f>
        <v>2010485</v>
      </c>
      <c r="H25" s="4" t="str">
        <f>'Part 1'!H25</f>
        <v xml:space="preserve"> y</v>
      </c>
      <c r="I25" s="4">
        <f>'Part 1'!I25</f>
        <v>3291030</v>
      </c>
      <c r="J25" s="4">
        <f>'Part 1'!J25</f>
        <v>24501</v>
      </c>
      <c r="K25" t="str">
        <f t="shared" si="2"/>
        <v/>
      </c>
      <c r="L25" t="str">
        <f t="shared" si="3"/>
        <v/>
      </c>
      <c r="M25" s="4">
        <f t="shared" si="4"/>
        <v>0</v>
      </c>
      <c r="N25" s="4">
        <f t="shared" si="5"/>
        <v>0</v>
      </c>
      <c r="Q25">
        <v>1793221</v>
      </c>
      <c r="R25">
        <v>2087173</v>
      </c>
      <c r="S25">
        <v>2213193</v>
      </c>
      <c r="T25">
        <v>0</v>
      </c>
      <c r="DO25">
        <v>3314181</v>
      </c>
    </row>
    <row r="26" spans="2:119" x14ac:dyDescent="0.2">
      <c r="B26" s="4" t="str">
        <f>'Part 1'!B26</f>
        <v>Sensor at x</v>
      </c>
      <c r="C26" s="4">
        <f>'Part 1'!C26</f>
        <v>1602224</v>
      </c>
      <c r="D26" s="4" t="str">
        <f>'Part 1'!D26</f>
        <v xml:space="preserve"> y</v>
      </c>
      <c r="E26" s="4">
        <f>'Part 1'!E26</f>
        <v>2989728</v>
      </c>
      <c r="F26" s="4" t="str">
        <f>'Part 1'!F26</f>
        <v xml:space="preserve"> closest beacon is at x</v>
      </c>
      <c r="G26" s="4">
        <f>'Part 1'!G26</f>
        <v>2010485</v>
      </c>
      <c r="H26" s="4" t="str">
        <f>'Part 1'!H26</f>
        <v xml:space="preserve"> y</v>
      </c>
      <c r="I26" s="4">
        <f>'Part 1'!I26</f>
        <v>3291030</v>
      </c>
      <c r="J26" s="4">
        <f>'Part 1'!J26</f>
        <v>709563</v>
      </c>
      <c r="K26">
        <f t="shared" si="2"/>
        <v>377990</v>
      </c>
      <c r="L26">
        <f t="shared" si="3"/>
        <v>331573</v>
      </c>
      <c r="M26" s="4">
        <f t="shared" si="4"/>
        <v>1270651</v>
      </c>
      <c r="N26" s="4">
        <f t="shared" si="5"/>
        <v>1933797</v>
      </c>
      <c r="Q26">
        <v>2087173</v>
      </c>
      <c r="R26">
        <v>2628043</v>
      </c>
      <c r="S26">
        <v>2213193</v>
      </c>
      <c r="T26">
        <v>331573</v>
      </c>
      <c r="DO26">
        <v>2989728</v>
      </c>
    </row>
    <row r="27" spans="2:119" x14ac:dyDescent="0.2">
      <c r="B27" s="4" t="str">
        <f>'Part 1'!B27</f>
        <v>Sensor at x</v>
      </c>
      <c r="C27" s="4">
        <f>'Part 1'!C27</f>
        <v>3928889</v>
      </c>
      <c r="D27" s="4" t="str">
        <f>'Part 1'!D27</f>
        <v xml:space="preserve"> y</v>
      </c>
      <c r="E27" s="4">
        <f>'Part 1'!E27</f>
        <v>1064434</v>
      </c>
      <c r="F27" s="4" t="str">
        <f>'Part 1'!F27</f>
        <v xml:space="preserve"> closest beacon is at x</v>
      </c>
      <c r="G27" s="4">
        <f>'Part 1'!G27</f>
        <v>3340990</v>
      </c>
      <c r="H27" s="4" t="str">
        <f>'Part 1'!H27</f>
        <v xml:space="preserve"> y</v>
      </c>
      <c r="I27" s="4">
        <f>'Part 1'!I27</f>
        <v>2451747</v>
      </c>
      <c r="J27" s="4">
        <f>'Part 1'!J27</f>
        <v>1975212</v>
      </c>
      <c r="K27" t="str">
        <f t="shared" si="2"/>
        <v/>
      </c>
      <c r="L27" t="str">
        <f t="shared" si="3"/>
        <v/>
      </c>
      <c r="M27" s="4">
        <f t="shared" si="4"/>
        <v>0</v>
      </c>
      <c r="N27" s="4">
        <f t="shared" si="5"/>
        <v>0</v>
      </c>
      <c r="Q27">
        <v>1966321</v>
      </c>
      <c r="R27">
        <v>2721113</v>
      </c>
      <c r="S27">
        <v>2213193</v>
      </c>
      <c r="T27">
        <v>0</v>
      </c>
      <c r="DO27">
        <v>1064434</v>
      </c>
    </row>
    <row r="28" spans="2:119" x14ac:dyDescent="0.2">
      <c r="B28" s="4" t="str">
        <f>'Part 1'!B28</f>
        <v>Sensor at x</v>
      </c>
      <c r="C28" s="4">
        <f>'Part 1'!C28</f>
        <v>2018358</v>
      </c>
      <c r="D28" s="4" t="str">
        <f>'Part 1'!D28</f>
        <v xml:space="preserve"> y</v>
      </c>
      <c r="E28" s="4">
        <f>'Part 1'!E28</f>
        <v>3301778</v>
      </c>
      <c r="F28" s="4" t="str">
        <f>'Part 1'!F28</f>
        <v xml:space="preserve"> closest beacon is at x</v>
      </c>
      <c r="G28" s="4">
        <f>'Part 1'!G28</f>
        <v>2010485</v>
      </c>
      <c r="H28" s="4" t="str">
        <f>'Part 1'!H28</f>
        <v xml:space="preserve"> y</v>
      </c>
      <c r="I28" s="4">
        <f>'Part 1'!I28</f>
        <v>3291030</v>
      </c>
      <c r="J28" s="4">
        <f>'Part 1'!J28</f>
        <v>18621</v>
      </c>
      <c r="K28" t="str">
        <f t="shared" si="2"/>
        <v/>
      </c>
      <c r="L28" t="str">
        <f t="shared" si="3"/>
        <v/>
      </c>
      <c r="M28" s="4">
        <f t="shared" si="4"/>
        <v>0</v>
      </c>
      <c r="N28" s="4">
        <f t="shared" si="5"/>
        <v>0</v>
      </c>
      <c r="Q28">
        <v>2087173</v>
      </c>
      <c r="R28">
        <v>2721113</v>
      </c>
      <c r="S28">
        <v>2213193</v>
      </c>
      <c r="T28">
        <v>0</v>
      </c>
      <c r="DO28">
        <v>3301778</v>
      </c>
    </row>
    <row r="29" spans="2:119" x14ac:dyDescent="0.2">
      <c r="B29" s="4" t="str">
        <f>'Part 1'!B29</f>
        <v>Sensor at x</v>
      </c>
      <c r="C29" s="4">
        <f>'Part 1'!C29</f>
        <v>1811905</v>
      </c>
      <c r="D29" s="4" t="str">
        <f>'Part 1'!D29</f>
        <v xml:space="preserve"> y</v>
      </c>
      <c r="E29" s="4">
        <f>'Part 1'!E29</f>
        <v>2084187</v>
      </c>
      <c r="F29" s="4" t="str">
        <f>'Part 1'!F29</f>
        <v xml:space="preserve"> closest beacon is at x</v>
      </c>
      <c r="G29" s="4">
        <f>'Part 1'!G29</f>
        <v>1690952</v>
      </c>
      <c r="H29" s="4" t="str">
        <f>'Part 1'!H29</f>
        <v xml:space="preserve"> y</v>
      </c>
      <c r="I29" s="4">
        <f>'Part 1'!I29</f>
        <v>2000000</v>
      </c>
      <c r="J29" s="4">
        <f>'Part 1'!J29</f>
        <v>205140</v>
      </c>
      <c r="K29" t="str">
        <f t="shared" si="2"/>
        <v/>
      </c>
      <c r="L29" t="str">
        <f t="shared" si="3"/>
        <v/>
      </c>
      <c r="M29" s="4">
        <f t="shared" si="4"/>
        <v>0</v>
      </c>
      <c r="N29" s="4">
        <f t="shared" si="5"/>
        <v>0</v>
      </c>
      <c r="Q29">
        <v>2721115</v>
      </c>
      <c r="R29">
        <v>3225219</v>
      </c>
      <c r="S29">
        <v>2213193</v>
      </c>
      <c r="T29">
        <v>0</v>
      </c>
      <c r="DO29">
        <v>2084187</v>
      </c>
    </row>
    <row r="30" spans="2:119" x14ac:dyDescent="0.2">
      <c r="B30" s="4" t="str">
        <f>'Part 1'!B30</f>
        <v>Sensor at x</v>
      </c>
      <c r="C30" s="4">
        <f>'Part 1'!C30</f>
        <v>1767697</v>
      </c>
      <c r="D30" s="4" t="str">
        <f>'Part 1'!D30</f>
        <v xml:space="preserve"> y</v>
      </c>
      <c r="E30" s="4">
        <f>'Part 1'!E30</f>
        <v>1873118</v>
      </c>
      <c r="F30" s="4" t="str">
        <f>'Part 1'!F30</f>
        <v xml:space="preserve"> closest beacon is at x</v>
      </c>
      <c r="G30" s="4">
        <f>'Part 1'!G30</f>
        <v>1690952</v>
      </c>
      <c r="H30" s="4" t="str">
        <f>'Part 1'!H30</f>
        <v xml:space="preserve"> y</v>
      </c>
      <c r="I30" s="4">
        <f>'Part 1'!I30</f>
        <v>2000000</v>
      </c>
      <c r="J30" s="4">
        <f>'Part 1'!J30</f>
        <v>203627</v>
      </c>
      <c r="K30" t="str">
        <f t="shared" si="2"/>
        <v/>
      </c>
      <c r="L30" t="str">
        <f t="shared" si="3"/>
        <v/>
      </c>
      <c r="M30" s="4">
        <f t="shared" si="4"/>
        <v>0</v>
      </c>
      <c r="N30" s="4">
        <f t="shared" si="5"/>
        <v>0</v>
      </c>
      <c r="Q30">
        <v>2721115</v>
      </c>
      <c r="R30">
        <v>3455459</v>
      </c>
      <c r="S30">
        <v>2213193</v>
      </c>
      <c r="T30">
        <v>0</v>
      </c>
      <c r="DO30">
        <v>1873118</v>
      </c>
    </row>
    <row r="31" spans="2:119" x14ac:dyDescent="0.2">
      <c r="B31" s="4" t="str">
        <f>'Part 1'!B31</f>
        <v>Sensor at x</v>
      </c>
      <c r="C31" s="4">
        <f>'Part 1'!C31</f>
        <v>260786</v>
      </c>
      <c r="D31" s="4" t="str">
        <f>'Part 1'!D31</f>
        <v xml:space="preserve"> y</v>
      </c>
      <c r="E31" s="4">
        <f>'Part 1'!E31</f>
        <v>1154525</v>
      </c>
      <c r="F31" s="4" t="str">
        <f>'Part 1'!F31</f>
        <v xml:space="preserve"> closest beacon is at x</v>
      </c>
      <c r="G31" s="4">
        <f>'Part 1'!G31</f>
        <v>20077</v>
      </c>
      <c r="H31" s="4" t="str">
        <f>'Part 1'!H31</f>
        <v xml:space="preserve"> y</v>
      </c>
      <c r="I31" s="4">
        <f>'Part 1'!I31</f>
        <v>1235084</v>
      </c>
      <c r="J31" s="4">
        <f>'Part 1'!J31</f>
        <v>321268</v>
      </c>
      <c r="K31" t="str">
        <f t="shared" si="2"/>
        <v/>
      </c>
      <c r="L31" t="str">
        <f t="shared" si="3"/>
        <v/>
      </c>
      <c r="M31" s="4">
        <f t="shared" si="4"/>
        <v>0</v>
      </c>
      <c r="N31" s="4">
        <f t="shared" si="5"/>
        <v>0</v>
      </c>
      <c r="Q31">
        <v>3336907</v>
      </c>
      <c r="R31">
        <v>4000000</v>
      </c>
      <c r="S31">
        <v>2213193</v>
      </c>
      <c r="T31">
        <v>0</v>
      </c>
      <c r="DO31">
        <v>1154525</v>
      </c>
    </row>
    <row r="33" spans="2:15" ht="17" x14ac:dyDescent="0.25">
      <c r="B33" s="1" t="s">
        <v>6</v>
      </c>
      <c r="C33">
        <f>MAX(C4:C31)</f>
        <v>3969726</v>
      </c>
      <c r="E33">
        <f>MAX(E4:E31)</f>
        <v>3963737</v>
      </c>
      <c r="G33">
        <f>MAX(G4:G31)</f>
        <v>3340990</v>
      </c>
      <c r="I33">
        <f>MAX(I4:I31)</f>
        <v>4296788</v>
      </c>
      <c r="M33">
        <f>MAX(M4:M31)</f>
        <v>3336907</v>
      </c>
      <c r="N33">
        <f>MAX(N4:N31)</f>
        <v>4000000</v>
      </c>
      <c r="O33">
        <f>SUM(O4:O31)</f>
        <v>0</v>
      </c>
    </row>
    <row r="34" spans="2:15" ht="17" x14ac:dyDescent="0.25">
      <c r="B34" s="1" t="s">
        <v>7</v>
      </c>
      <c r="C34">
        <f>MIN(C4:C31)</f>
        <v>2936</v>
      </c>
      <c r="E34">
        <f>MIN(E4:E31)</f>
        <v>190833</v>
      </c>
      <c r="G34">
        <f>MIN(G4:G31)</f>
        <v>-1018858</v>
      </c>
      <c r="I34">
        <f>MIN(I4:I31)</f>
        <v>-169389</v>
      </c>
      <c r="M34">
        <f>MIN(M4:M31)</f>
        <v>0</v>
      </c>
      <c r="N34">
        <f>MIN(N4:N31)</f>
        <v>0</v>
      </c>
    </row>
    <row r="36" spans="2:15" ht="17" x14ac:dyDescent="0.25">
      <c r="B36" s="1"/>
    </row>
    <row r="37" spans="2:15" ht="17" x14ac:dyDescent="0.25">
      <c r="B37" s="1"/>
    </row>
    <row r="38" spans="2:15" ht="17" x14ac:dyDescent="0.25">
      <c r="B38" s="1"/>
    </row>
    <row r="39" spans="2:15" ht="17" x14ac:dyDescent="0.25">
      <c r="B39" s="1"/>
    </row>
    <row r="40" spans="2:15" ht="17" x14ac:dyDescent="0.25">
      <c r="B40" s="1"/>
    </row>
    <row r="41" spans="2:15" ht="17" x14ac:dyDescent="0.25">
      <c r="B41" s="1"/>
    </row>
    <row r="42" spans="2:15" ht="17" x14ac:dyDescent="0.25">
      <c r="B42" s="1"/>
    </row>
    <row r="43" spans="2:15" ht="17" x14ac:dyDescent="0.25">
      <c r="B4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Part2">
                <anchor moveWithCells="1" sizeWithCells="1">
                  <from>
                    <xdr:col>0</xdr:col>
                    <xdr:colOff>165100</xdr:colOff>
                    <xdr:row>1</xdr:row>
                    <xdr:rowOff>76200</xdr:rowOff>
                  </from>
                  <to>
                    <xdr:col>2</xdr:col>
                    <xdr:colOff>101600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2022-12-15T04:58:00Z</dcterms:created>
  <dcterms:modified xsi:type="dcterms:W3CDTF">2022-12-15T18:28:44Z</dcterms:modified>
</cp:coreProperties>
</file>