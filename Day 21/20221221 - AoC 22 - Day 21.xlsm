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21/"/>
    </mc:Choice>
  </mc:AlternateContent>
  <xr:revisionPtr revIDLastSave="0" documentId="13_ncr:1_{E6517323-5FCA-4E43-9296-1815C2E24AE2}" xr6:coauthVersionLast="47" xr6:coauthVersionMax="47" xr10:uidLastSave="{00000000-0000-0000-0000-000000000000}"/>
  <bookViews>
    <workbookView xWindow="81700" yWindow="-6320" windowWidth="38400" windowHeight="21100" xr2:uid="{566816E6-2C61-B141-AF5B-BBFF352308EA}"/>
  </bookViews>
  <sheets>
    <sheet name="Sheet1" sheetId="1" r:id="rId1"/>
  </sheets>
  <functionGroups builtInGroupCount="19"/>
  <definedNames>
    <definedName name="bbhz">Sheet1!$B$107</definedName>
    <definedName name="bbjq">Sheet1!$B$1113</definedName>
    <definedName name="bblr">Sheet1!$B$2062</definedName>
    <definedName name="bbnq">Sheet1!$B$1123</definedName>
    <definedName name="bbwp">Sheet1!$B$2226</definedName>
    <definedName name="bccv">Sheet1!$B$2309</definedName>
    <definedName name="bcdg">Sheet1!$B$383</definedName>
    <definedName name="bclh">Sheet1!$B$1933</definedName>
    <definedName name="bclv">Sheet1!$B$2671</definedName>
    <definedName name="bcmd">Sheet1!$B$2144</definedName>
    <definedName name="bcnh">Sheet1!$B$2429</definedName>
    <definedName name="bctr">Sheet1!$B$744</definedName>
    <definedName name="bcvc">Sheet1!$B$369</definedName>
    <definedName name="bcvs">Sheet1!$B$1075</definedName>
    <definedName name="bdds">Sheet1!$B$1194</definedName>
    <definedName name="bdfj">Sheet1!$B$851</definedName>
    <definedName name="bdjw">Sheet1!$B$1597</definedName>
    <definedName name="bdlp">Sheet1!$B$465</definedName>
    <definedName name="bdsd">Sheet1!$B$1537</definedName>
    <definedName name="bdvv">Sheet1!$B$1119</definedName>
    <definedName name="bdvw">Sheet1!$B$1363</definedName>
    <definedName name="bdww">Sheet1!$B$2172</definedName>
    <definedName name="bfbz">Sheet1!$B$2115</definedName>
    <definedName name="bffq">Sheet1!$B$1380</definedName>
    <definedName name="bffv">Sheet1!$B$795</definedName>
    <definedName name="bfgr">Sheet1!$B$877</definedName>
    <definedName name="bfnc">Sheet1!$B$1014</definedName>
    <definedName name="bfnm">Sheet1!$B$717</definedName>
    <definedName name="bfqz">Sheet1!$B$2644</definedName>
    <definedName name="bfrh">Sheet1!$B$910</definedName>
    <definedName name="bfrv">Sheet1!$B$1694</definedName>
    <definedName name="bfsc">Sheet1!$B$2274</definedName>
    <definedName name="bfwn">Sheet1!$B$1732</definedName>
    <definedName name="bfwr">Sheet1!$B$2137</definedName>
    <definedName name="bghc">Sheet1!$B$1520</definedName>
    <definedName name="bgjf">Sheet1!$B$372</definedName>
    <definedName name="bgqf">Sheet1!$B$1851</definedName>
    <definedName name="bgrd">Sheet1!$B$915</definedName>
    <definedName name="bgrh">Sheet1!$B$2225</definedName>
    <definedName name="bgrl">Sheet1!$B$1016</definedName>
    <definedName name="bgsq">Sheet1!$B$1330</definedName>
    <definedName name="bgsw">Sheet1!$B$1184</definedName>
    <definedName name="bgsz">Sheet1!$B$2112</definedName>
    <definedName name="bgws">Sheet1!$B$477</definedName>
    <definedName name="bhbm">Sheet1!$B$2303</definedName>
    <definedName name="bhdt">Sheet1!$B$1234</definedName>
    <definedName name="bhfc">Sheet1!$B$373</definedName>
    <definedName name="bhfl">Sheet1!$B$2478</definedName>
    <definedName name="bhgc">Sheet1!$B$534</definedName>
    <definedName name="bhjr">Sheet1!$B$2140</definedName>
    <definedName name="bhlr">Sheet1!$B$1022</definedName>
    <definedName name="bhqd">Sheet1!$B$584</definedName>
    <definedName name="bhvl">Sheet1!$B$326</definedName>
    <definedName name="bhwv">Sheet1!$B$968</definedName>
    <definedName name="bjbd">Sheet1!$B$1320</definedName>
    <definedName name="bjcn">Sheet1!$B$1724</definedName>
    <definedName name="bjfm">Sheet1!$B$659</definedName>
    <definedName name="bjgh">Sheet1!$B$2253</definedName>
    <definedName name="bjln">Sheet1!$B$2185</definedName>
    <definedName name="bjnp">Sheet1!$B$1986</definedName>
    <definedName name="bjpr">Sheet1!$B$2320</definedName>
    <definedName name="bjrl">Sheet1!$B$761</definedName>
    <definedName name="bjwc">Sheet1!$B$1595</definedName>
    <definedName name="bjzb">Sheet1!$B$335</definedName>
    <definedName name="blbw">Sheet1!$B$1311</definedName>
    <definedName name="blgc">Sheet1!$B$2075</definedName>
    <definedName name="blhm">Sheet1!$B$1584</definedName>
    <definedName name="blmj">Sheet1!$B$1250</definedName>
    <definedName name="blml">Sheet1!$B$8</definedName>
    <definedName name="blpr">Sheet1!$B$343</definedName>
    <definedName name="blqj">Sheet1!$B$654</definedName>
    <definedName name="bltq">Sheet1!$B$2359</definedName>
    <definedName name="bmbq">Sheet1!$B$2475</definedName>
    <definedName name="bmcp">Sheet1!$B$378</definedName>
    <definedName name="bmdc">Sheet1!$B$1013</definedName>
    <definedName name="bmds">Sheet1!$B$458</definedName>
    <definedName name="bmjc">Sheet1!$B$1452</definedName>
    <definedName name="bmmc">Sheet1!$B$1224</definedName>
    <definedName name="bmmg">Sheet1!$B$1766</definedName>
    <definedName name="bmnl">Sheet1!$B$2409</definedName>
    <definedName name="bmnn">Sheet1!$B$2161</definedName>
    <definedName name="bmsc">Sheet1!$B$290</definedName>
    <definedName name="bncl">Sheet1!$B$2261</definedName>
    <definedName name="bncq">Sheet1!$B$2330</definedName>
    <definedName name="bngv">Sheet1!$B$1015</definedName>
    <definedName name="bnmd">Sheet1!$B$348</definedName>
    <definedName name="bnmr">Sheet1!$B$1846</definedName>
    <definedName name="bnnw">Sheet1!$B$344</definedName>
    <definedName name="bntt">Sheet1!$B$1099</definedName>
    <definedName name="bnzz">Sheet1!$B$1266</definedName>
    <definedName name="bpfj">Sheet1!$B$819</definedName>
    <definedName name="bpfl">Sheet1!$B$109</definedName>
    <definedName name="bpgc">Sheet1!$B$219</definedName>
    <definedName name="bpjm">Sheet1!$B$58</definedName>
    <definedName name="bpns">Sheet1!$B$1784</definedName>
    <definedName name="bpnz">Sheet1!$B$1831</definedName>
    <definedName name="bpqv">Sheet1!$B$1564</definedName>
    <definedName name="bqbb">Sheet1!$B$775</definedName>
    <definedName name="bqbl">Sheet1!$B$542</definedName>
    <definedName name="bqqd">Sheet1!$B$1444</definedName>
    <definedName name="bqvr">Sheet1!$B$325</definedName>
    <definedName name="brbh">Sheet1!$B$1667</definedName>
    <definedName name="brbv">Sheet1!$B$655</definedName>
    <definedName name="brjc">Sheet1!$B$720</definedName>
    <definedName name="brjv">Sheet1!$B$2160</definedName>
    <definedName name="brlz">Sheet1!$B$1288</definedName>
    <definedName name="brpd">Sheet1!$B$2119</definedName>
    <definedName name="brqn">Sheet1!$B$2135</definedName>
    <definedName name="brvb">Sheet1!$B$1617</definedName>
    <definedName name="brzp">Sheet1!$B$1840</definedName>
    <definedName name="bscd">Sheet1!$B$1813</definedName>
    <definedName name="bsgd">Sheet1!$B$1875</definedName>
    <definedName name="bshs">Sheet1!$B$2581</definedName>
    <definedName name="bsrp">Sheet1!$B$1356</definedName>
    <definedName name="bsvd">Sheet1!$B$1377</definedName>
    <definedName name="bsvh">Sheet1!$B$2680</definedName>
    <definedName name="bswg">Sheet1!$B$700</definedName>
    <definedName name="bswm">Sheet1!$B$2600</definedName>
    <definedName name="bszn">Sheet1!$B$1799</definedName>
    <definedName name="btbr">Sheet1!$B$626</definedName>
    <definedName name="btgt">Sheet1!$B$1339</definedName>
    <definedName name="btjv">Sheet1!$B$1568</definedName>
    <definedName name="btls">Sheet1!$B$1927</definedName>
    <definedName name="btpg">Sheet1!$B$2620</definedName>
    <definedName name="btsh">Sheet1!$B$1051</definedName>
    <definedName name="bvgd">Sheet1!$B$709</definedName>
    <definedName name="bvlv">Sheet1!$B$2174</definedName>
    <definedName name="bvmd">Sheet1!$B$456</definedName>
    <definedName name="bvnq">Sheet1!$B$620</definedName>
    <definedName name="bvpf">Sheet1!$B$1061</definedName>
    <definedName name="bvqs">Sheet1!$B$2459</definedName>
    <definedName name="bvrn">Sheet1!$B$181</definedName>
    <definedName name="bvst">Sheet1!$B$1900</definedName>
    <definedName name="bvtd">Sheet1!$B$1429</definedName>
    <definedName name="bvvc">Sheet1!$B$1989</definedName>
    <definedName name="bvwp">Sheet1!$B$1871</definedName>
    <definedName name="bvzn">Sheet1!$B$1355</definedName>
    <definedName name="bwcw">Sheet1!$B$2544</definedName>
    <definedName name="bwdg">Sheet1!$B$998</definedName>
    <definedName name="bwdz">Sheet1!$B$485</definedName>
    <definedName name="bwfb">Sheet1!$B$2539</definedName>
    <definedName name="bwgh">Sheet1!$B$1914</definedName>
    <definedName name="bwhb">Sheet1!$B$123</definedName>
    <definedName name="bwll">Sheet1!$B$319</definedName>
    <definedName name="bwts">Sheet1!$B$2436</definedName>
    <definedName name="bzcn">Sheet1!$B$1981</definedName>
    <definedName name="bzfj">Sheet1!$B$2222</definedName>
    <definedName name="bzpt">Sheet1!$B$2025</definedName>
    <definedName name="bzqc">Sheet1!$B$617</definedName>
    <definedName name="bzqz">Sheet1!$B$2239</definedName>
    <definedName name="bzzl">Sheet1!$B$228</definedName>
    <definedName name="cbdg">Sheet1!$B$135</definedName>
    <definedName name="cbgb">Sheet1!$B$2034</definedName>
    <definedName name="cbgc">Sheet1!$B$950</definedName>
    <definedName name="cbpw">Sheet1!$B$918</definedName>
    <definedName name="cbrp">Sheet1!$B$2037</definedName>
    <definedName name="cbsm">Sheet1!$B$2470</definedName>
    <definedName name="cbvd">Sheet1!$B$1515</definedName>
    <definedName name="cbws">Sheet1!$B$1863</definedName>
    <definedName name="ccdl">Sheet1!$B$2206</definedName>
    <definedName name="ccds">Sheet1!$B$2477</definedName>
    <definedName name="ccft">Sheet1!$B$77</definedName>
    <definedName name="ccnp">Sheet1!$B$174</definedName>
    <definedName name="ccqq">Sheet1!$B$247</definedName>
    <definedName name="ccrb">Sheet1!$B$1631</definedName>
    <definedName name="cczh">Sheet1!$B$3</definedName>
    <definedName name="cdbf">Sheet1!$B$1965</definedName>
    <definedName name="cdgd">Sheet1!$B$175</definedName>
    <definedName name="cdhb">Sheet1!$B$926</definedName>
    <definedName name="cdhh">Sheet1!$B$2138</definedName>
    <definedName name="cdjw">Sheet1!$B$1926</definedName>
    <definedName name="cdmb">Sheet1!$B$2455</definedName>
    <definedName name="cdnl">Sheet1!$B$2551</definedName>
    <definedName name="cdtl">Sheet1!$B$2167</definedName>
    <definedName name="cdvg">Sheet1!$B$1033</definedName>
    <definedName name="cfch">Sheet1!$B$2089</definedName>
    <definedName name="cffs">Sheet1!$B$2646</definedName>
    <definedName name="cflt">Sheet1!$B$1901</definedName>
    <definedName name="cfrf">Sheet1!$B$1797</definedName>
    <definedName name="cfzt">Sheet1!$B$1463</definedName>
    <definedName name="cggc">Sheet1!$B$176</definedName>
    <definedName name="cggg">Sheet1!$B$1406</definedName>
    <definedName name="cghj">Sheet1!$B$288</definedName>
    <definedName name="cgjm">Sheet1!$B$832</definedName>
    <definedName name="cglz">Sheet1!$B$2180</definedName>
    <definedName name="cgml">Sheet1!$B$1773</definedName>
    <definedName name="cgnd">Sheet1!$B$779</definedName>
    <definedName name="cgnt">Sheet1!$B$734</definedName>
    <definedName name="cgnv">Sheet1!$B$1531</definedName>
    <definedName name="cgrh">Sheet1!$B$2287</definedName>
    <definedName name="cgtg">Sheet1!$B$205</definedName>
    <definedName name="cgzs">Sheet1!$B$2221</definedName>
    <definedName name="chbn">Sheet1!$B$1045</definedName>
    <definedName name="chbq">Sheet1!$B$388</definedName>
    <definedName name="chdw">Sheet1!$B$469</definedName>
    <definedName name="chgv">Sheet1!$B$1086</definedName>
    <definedName name="chmf">Sheet1!$B$2053</definedName>
    <definedName name="chnh">Sheet1!$B$297</definedName>
    <definedName name="chpr">Sheet1!$B$681</definedName>
    <definedName name="chsp">Sheet1!$B$1971</definedName>
    <definedName name="chsw">Sheet1!$B$2224</definedName>
    <definedName name="chvf">Sheet1!$B$434</definedName>
    <definedName name="chwl">Sheet1!$B$781</definedName>
    <definedName name="chzd">Sheet1!$B$89</definedName>
    <definedName name="chzs">Sheet1!$B$2014</definedName>
    <definedName name="cjpp">Sheet1!$B$831</definedName>
    <definedName name="cjvq">Sheet1!$B$266</definedName>
    <definedName name="cjzt">Sheet1!$B$1734</definedName>
    <definedName name="clcj">Sheet1!$B$12</definedName>
    <definedName name="clhb">Sheet1!$B$1852</definedName>
    <definedName name="cljq">Sheet1!$B$1909</definedName>
    <definedName name="clls">Sheet1!$B$2228</definedName>
    <definedName name="clpj">Sheet1!$B$1141</definedName>
    <definedName name="clwf">Sheet1!$B$1917</definedName>
    <definedName name="cmfn">Sheet1!$B$1335</definedName>
    <definedName name="cmgl">Sheet1!$B$552</definedName>
    <definedName name="cmhd">Sheet1!$B$1181</definedName>
    <definedName name="cmjw">Sheet1!$B$1576</definedName>
    <definedName name="cmmj">Sheet1!$B$2045</definedName>
    <definedName name="cmpp">Sheet1!$B$1395</definedName>
    <definedName name="cmpz">Sheet1!$B$2323</definedName>
    <definedName name="cmrm">Sheet1!$B$1332</definedName>
    <definedName name="cmsd">Sheet1!$B$2389</definedName>
    <definedName name="cmwh">Sheet1!$B$917</definedName>
    <definedName name="cncc">Sheet1!$B$268</definedName>
    <definedName name="cncz">Sheet1!$B$1822</definedName>
    <definedName name="cnfh">Sheet1!$B$934</definedName>
    <definedName name="cnlm">Sheet1!$B$141</definedName>
    <definedName name="cnpl">Sheet1!$B$2079</definedName>
    <definedName name="cnrj">Sheet1!$B$285</definedName>
    <definedName name="cnrp">Sheet1!$B$2171</definedName>
    <definedName name="cntc">Sheet1!$B$116</definedName>
    <definedName name="cpfb">Sheet1!$B$1374</definedName>
    <definedName name="cpfw">Sheet1!$B$320</definedName>
    <definedName name="cphb">Sheet1!$B$2528</definedName>
    <definedName name="cpjn">Sheet1!$B$2008</definedName>
    <definedName name="cppj">Sheet1!$B$1730</definedName>
    <definedName name="cprz">Sheet1!$B$2632</definedName>
    <definedName name="cpvd">Sheet1!$B$638</definedName>
    <definedName name="cpvn">Sheet1!$B$198</definedName>
    <definedName name="cpzl">Sheet1!$B$1892</definedName>
    <definedName name="cqdw">Sheet1!$B$362</definedName>
    <definedName name="cqfp">Sheet1!$B$627</definedName>
    <definedName name="cqmv">Sheet1!$B$2108</definedName>
    <definedName name="cqmw">Sheet1!$B$1792</definedName>
    <definedName name="cqtz">Sheet1!$B$665</definedName>
    <definedName name="cqwn">Sheet1!$B$1325</definedName>
    <definedName name="cqzm">Sheet1!$B$213</definedName>
    <definedName name="crcz">Sheet1!$B$103</definedName>
    <definedName name="crdq">Sheet1!$B$798</definedName>
    <definedName name="crhs">Sheet1!$B$684</definedName>
    <definedName name="crjp">Sheet1!$B$2099</definedName>
    <definedName name="crlj">Sheet1!$B$587</definedName>
    <definedName name="crnl">Sheet1!$B$2049</definedName>
    <definedName name="crpp">Sheet1!$B$2599</definedName>
    <definedName name="crzd">Sheet1!$B$1801</definedName>
    <definedName name="csbn">Sheet1!$B$791</definedName>
    <definedName name="cscc">Sheet1!$B$1082</definedName>
    <definedName name="csdt">Sheet1!$B$1610</definedName>
    <definedName name="csfj">Sheet1!$B$692</definedName>
    <definedName name="csgs">Sheet1!$B$1009</definedName>
    <definedName name="csgw">Sheet1!$B$270</definedName>
    <definedName name="csqb">Sheet1!$B$2611</definedName>
    <definedName name="cswj">Sheet1!$B$1804</definedName>
    <definedName name="cswv">Sheet1!$B$202</definedName>
    <definedName name="cszj">Sheet1!$B$1434</definedName>
    <definedName name="ctcp">Sheet1!$B$2250</definedName>
    <definedName name="ctgg">Sheet1!$B$1034</definedName>
    <definedName name="cthg">Sheet1!$B$2101</definedName>
    <definedName name="ctmg">Sheet1!$B$2218</definedName>
    <definedName name="cttg">Sheet1!$B$113</definedName>
    <definedName name="ctth">Sheet1!$B$1131</definedName>
    <definedName name="cvbz">Sheet1!$B$1207</definedName>
    <definedName name="cvdp">Sheet1!$B$2453</definedName>
    <definedName name="cvfz">Sheet1!$B$423</definedName>
    <definedName name="cvgp">Sheet1!$B$816</definedName>
    <definedName name="cvjl">Sheet1!$B$354</definedName>
    <definedName name="cvld">Sheet1!$B$990</definedName>
    <definedName name="cvsb">Sheet1!$B$2272</definedName>
    <definedName name="cvvb">Sheet1!$B$2011</definedName>
    <definedName name="cvvp">Sheet1!$B$1716</definedName>
    <definedName name="cwdv">Sheet1!$B$974</definedName>
    <definedName name="cwff">Sheet1!$B$1698</definedName>
    <definedName name="cwht">Sheet1!$B$1010</definedName>
    <definedName name="cwnw">Sheet1!$B$1059</definedName>
    <definedName name="cwpc">Sheet1!$B$98</definedName>
    <definedName name="cwvm">Sheet1!$B$2280</definedName>
    <definedName name="cwwf">Sheet1!$B$897</definedName>
    <definedName name="cwzv">Sheet1!$B$1534</definedName>
    <definedName name="czbj">Sheet1!$B$1755</definedName>
    <definedName name="czgl">Sheet1!$B$79</definedName>
    <definedName name="czhh">Sheet1!$B$1707</definedName>
    <definedName name="czhr">Sheet1!$B$736</definedName>
    <definedName name="czqn">Sheet1!$B$1097</definedName>
    <definedName name="czqs">Sheet1!$B$1108</definedName>
    <definedName name="czwl">Sheet1!$B$1465</definedName>
    <definedName name="dbcq">Sheet1!$B$569</definedName>
    <definedName name="dbgg">Sheet1!$B$2424</definedName>
    <definedName name="dbpl">Sheet1!$B$2</definedName>
    <definedName name="dbpp">Sheet1!$B$980</definedName>
    <definedName name="dbpv">Sheet1!$B$2362</definedName>
    <definedName name="dbqq">Sheet1!$B$262</definedName>
    <definedName name="dbqw">Sheet1!$B$1115</definedName>
    <definedName name="dbqz">Sheet1!$B$667</definedName>
    <definedName name="dbth">Sheet1!$B$1136</definedName>
    <definedName name="dbzh">Sheet1!$B$2</definedName>
    <definedName name="dbzz">Sheet1!$B$1255</definedName>
    <definedName name="dccf">Sheet1!$B$1473</definedName>
    <definedName name="dccl">Sheet1!$B$2519</definedName>
    <definedName name="dccw">Sheet1!$B$2017</definedName>
    <definedName name="dcqm">Sheet1!$B$1714</definedName>
    <definedName name="dctl">Sheet1!$B$2641</definedName>
    <definedName name="dctv">Sheet1!$B$1510</definedName>
    <definedName name="dczh">Sheet1!$B$1012</definedName>
    <definedName name="dddh">Sheet1!$B$543</definedName>
    <definedName name="ddmc">Sheet1!$B$610</definedName>
    <definedName name="ddrl">Sheet1!$B$533</definedName>
    <definedName name="ddtt">Sheet1!$B$789</definedName>
    <definedName name="ddzr">Sheet1!$B$429</definedName>
    <definedName name="dfcv">Sheet1!$B$2523</definedName>
    <definedName name="dfdc">Sheet1!$B$2633</definedName>
    <definedName name="dfjl">Sheet1!$B$284</definedName>
    <definedName name="dfjn">Sheet1!$B$1660</definedName>
    <definedName name="dfld">Sheet1!$B$1346</definedName>
    <definedName name="dfmb">Sheet1!$B$517</definedName>
    <definedName name="dfnh">Sheet1!$B$2057</definedName>
    <definedName name="dfrl">Sheet1!$B$1053</definedName>
    <definedName name="dfsh">Sheet1!$B$1007</definedName>
    <definedName name="dfsr">Sheet1!$B$2547</definedName>
    <definedName name="dftz">Sheet1!$B$1728</definedName>
    <definedName name="dgcp">Sheet1!$B$322</definedName>
    <definedName name="dgdr">Sheet1!$B$591</definedName>
    <definedName name="dgfj">Sheet1!$B$2653</definedName>
    <definedName name="dgsn">Sheet1!$B$2676</definedName>
    <definedName name="dgww">Sheet1!$B$1693</definedName>
    <definedName name="dhdh">Sheet1!$B$2238</definedName>
    <definedName name="dhsh">Sheet1!$B$1317</definedName>
    <definedName name="djbg">Sheet1!$B$1283</definedName>
    <definedName name="djcf">Sheet1!$B$729</definedName>
    <definedName name="djcj">Sheet1!$B$2630</definedName>
    <definedName name="djdw">Sheet1!$B$669</definedName>
    <definedName name="djfh">Sheet1!$B$216</definedName>
    <definedName name="djfj">Sheet1!$B$2624</definedName>
    <definedName name="djgb">Sheet1!$B$1373</definedName>
    <definedName name="djlm">Sheet1!$B$189</definedName>
    <definedName name="djpd">Sheet1!$B$2569</definedName>
    <definedName name="djpg">Sheet1!$B$1146</definedName>
    <definedName name="djqn">Sheet1!$B$594</definedName>
    <definedName name="djqp">Sheet1!$B$71</definedName>
    <definedName name="djtc">Sheet1!$B$2518</definedName>
    <definedName name="djtd">Sheet1!$B$2196</definedName>
    <definedName name="djwb">Sheet1!$B$1591</definedName>
    <definedName name="djzn">Sheet1!$B$1367</definedName>
    <definedName name="dlcz">Sheet1!$B$138</definedName>
    <definedName name="dlfn">Sheet1!$B$774</definedName>
    <definedName name="dllv">Sheet1!$B$1603</definedName>
    <definedName name="dlmj">Sheet1!$B$451</definedName>
    <definedName name="dlqt">Sheet1!$B$2355</definedName>
    <definedName name="dlrc">Sheet1!$B$2032</definedName>
    <definedName name="dlzm">Sheet1!$B$984</definedName>
    <definedName name="dlzq">Sheet1!$B$2254</definedName>
    <definedName name="dmbg">Sheet1!$B$1934</definedName>
    <definedName name="dmbl">Sheet1!$B$261</definedName>
    <definedName name="dmbw">Sheet1!$B$593</definedName>
    <definedName name="dmcb">Sheet1!$B$2260</definedName>
    <definedName name="dmhg">Sheet1!$B$1771</definedName>
    <definedName name="dmmh">Sheet1!$B$1491</definedName>
    <definedName name="dmnh">Sheet1!$B$676</definedName>
    <definedName name="dmnv">Sheet1!$B$396</definedName>
    <definedName name="dmvm">Sheet1!$B$2279</definedName>
    <definedName name="dnbq">Sheet1!$B$203</definedName>
    <definedName name="dndb">Sheet1!$B$1908</definedName>
    <definedName name="dngr">Sheet1!$B$2402</definedName>
    <definedName name="dnhb">Sheet1!$B$2165</definedName>
    <definedName name="dnhs">Sheet1!$B$147</definedName>
    <definedName name="dnjl">Sheet1!$B$346</definedName>
    <definedName name="dnlc">Sheet1!$B$892</definedName>
    <definedName name="dnmj">Sheet1!$B$673</definedName>
    <definedName name="dnnp">Sheet1!$B$1606</definedName>
    <definedName name="dnpj">Sheet1!$B$422</definedName>
    <definedName name="dnsg">Sheet1!$B$2598</definedName>
    <definedName name="dnvd">Sheet1!$B$39</definedName>
    <definedName name="dnzn">Sheet1!$B$1228</definedName>
    <definedName name="dpbn">Sheet1!$B$2151</definedName>
    <definedName name="dpcf">Sheet1!$B$1439</definedName>
    <definedName name="dpdn">Sheet1!$B$489</definedName>
    <definedName name="dpgj">Sheet1!$B$313</definedName>
    <definedName name="dphb">Sheet1!$B$540</definedName>
    <definedName name="dphc">Sheet1!$B$221</definedName>
    <definedName name="dphh">Sheet1!$B$1252</definedName>
    <definedName name="dpmq">Sheet1!$B$815</definedName>
    <definedName name="dprf">Sheet1!$B$291</definedName>
    <definedName name="dpsp">Sheet1!$B$2472</definedName>
    <definedName name="dpwl">Sheet1!$B$2010</definedName>
    <definedName name="dqbq">Sheet1!$B$145</definedName>
    <definedName name="dqmj">Sheet1!$B$751</definedName>
    <definedName name="dqpj">Sheet1!$B$1246</definedName>
    <definedName name="dqpr">Sheet1!$B$1107</definedName>
    <definedName name="dqvf">Sheet1!$B$760</definedName>
    <definedName name="dqzp">Sheet1!$B$2423</definedName>
    <definedName name="drdm">Sheet1!$B$2305</definedName>
    <definedName name="drft">Sheet1!$B$2383</definedName>
    <definedName name="drhv">Sheet1!$B$1269</definedName>
    <definedName name="drlj">Sheet1!$B$1145</definedName>
    <definedName name="drlm">Sheet1!$B$2244</definedName>
    <definedName name="drqv">Sheet1!$B$727</definedName>
    <definedName name="drsb">Sheet1!$B$1259</definedName>
    <definedName name="drzh">Sheet1!$B$2219</definedName>
    <definedName name="drzm">Sheet1!$B$14</definedName>
    <definedName name="dsbr">Sheet1!$B$2499</definedName>
    <definedName name="dslr">Sheet1!$B$1147</definedName>
    <definedName name="dslt">Sheet1!$B$2640</definedName>
    <definedName name="dsrn">Sheet1!$B$1391</definedName>
    <definedName name="dssz">Sheet1!$B$1976</definedName>
    <definedName name="dtcf">Sheet1!$B$1420</definedName>
    <definedName name="dtdj">Sheet1!$B$1995</definedName>
    <definedName name="dtdq">Sheet1!$B$1476</definedName>
    <definedName name="dtlj">Sheet1!$B$274</definedName>
    <definedName name="dtnc">Sheet1!$B$182</definedName>
    <definedName name="dttn">Sheet1!$B$1116</definedName>
    <definedName name="dtww">Sheet1!$B$1556</definedName>
    <definedName name="dvcq">Sheet1!$B$2044</definedName>
    <definedName name="dvlb">Sheet1!$B$1480</definedName>
    <definedName name="dvpt">Sheet1!$B$6</definedName>
    <definedName name="dvrd">Sheet1!$B$146</definedName>
    <definedName name="dvww">Sheet1!$B$178</definedName>
    <definedName name="dwnf">Sheet1!$B$1826</definedName>
    <definedName name="dwpw">Sheet1!$B$329</definedName>
    <definedName name="dwqw">Sheet1!$B$1857</definedName>
    <definedName name="dwsw">Sheet1!$B$820</definedName>
    <definedName name="dwww">Sheet1!$B$2376</definedName>
    <definedName name="dwzz">Sheet1!$B$2189</definedName>
    <definedName name="dzbd">Sheet1!$B$2070</definedName>
    <definedName name="dzdr">Sheet1!$B$2415</definedName>
    <definedName name="dzgp">Sheet1!$B$409</definedName>
    <definedName name="dzvq">Sheet1!$B$601</definedName>
    <definedName name="dzwg">Sheet1!$B$2486</definedName>
    <definedName name="dzzc">Sheet1!$B$887</definedName>
    <definedName name="fbbh">Sheet1!$B$840</definedName>
    <definedName name="fbbj">Sheet1!$B$1050</definedName>
    <definedName name="fbcc">Sheet1!$B$32</definedName>
    <definedName name="fbdq">Sheet1!$B$2173</definedName>
    <definedName name="fbhm">Sheet1!$B$1658</definedName>
    <definedName name="fbls">Sheet1!$B$1629</definedName>
    <definedName name="fbnq">Sheet1!$B$251</definedName>
    <definedName name="fbns">Sheet1!$B$2227</definedName>
    <definedName name="fbpq">Sheet1!$B$1950</definedName>
    <definedName name="fbpw">Sheet1!$B$2471</definedName>
    <definedName name="fbrh">Sheet1!$B$2561</definedName>
    <definedName name="fbrs">Sheet1!$B$1104</definedName>
    <definedName name="fbtd">Sheet1!$B$1000</definedName>
    <definedName name="fbtw">Sheet1!$B$1947</definedName>
    <definedName name="fbvc">Sheet1!$B$2325</definedName>
    <definedName name="fbvd">Sheet1!$B$1042</definedName>
    <definedName name="fcbn">Sheet1!$B$1256</definedName>
    <definedName name="fccn">Sheet1!$B$792</definedName>
    <definedName name="fcdf">Sheet1!$B$979</definedName>
    <definedName name="fcdw">Sheet1!$B$2540</definedName>
    <definedName name="fcns">Sheet1!$B$318</definedName>
    <definedName name="fcsr">Sheet1!$B$1639</definedName>
    <definedName name="fdhc">Sheet1!$B$183</definedName>
    <definedName name="fdhl">Sheet1!$B$2369</definedName>
    <definedName name="fdjr">Sheet1!$B$305</definedName>
    <definedName name="fdmh">Sheet1!$B$2128</definedName>
    <definedName name="fdvb">Sheet1!$B$460</definedName>
    <definedName name="fdzp">Sheet1!$B$2408</definedName>
    <definedName name="ffbd">Sheet1!$B$579</definedName>
    <definedName name="ffbt">Sheet1!$B$1599</definedName>
    <definedName name="ffcn">Sheet1!$B$1994</definedName>
    <definedName name="ffcz">Sheet1!$B$1963</definedName>
    <definedName name="ffdb">Sheet1!$B$1202</definedName>
    <definedName name="ffjs">Sheet1!$B$1180</definedName>
    <definedName name="ffvh">Sheet1!$B$1794</definedName>
    <definedName name="ffzf">Sheet1!$B$2597</definedName>
    <definedName name="fgbg">Sheet1!$B$1295</definedName>
    <definedName name="fgcf">Sheet1!$B$963</definedName>
    <definedName name="fgcp">Sheet1!$B$723</definedName>
    <definedName name="fgcz">Sheet1!$B$1039</definedName>
    <definedName name="fgdw">Sheet1!$B$2009</definedName>
    <definedName name="fghg">Sheet1!$B$932</definedName>
    <definedName name="fghp">Sheet1!$B$408</definedName>
    <definedName name="fglh">Sheet1!$B$1705</definedName>
    <definedName name="fglt">Sheet1!$B$1340</definedName>
    <definedName name="fgqw">Sheet1!$B$895</definedName>
    <definedName name="fhbb">Sheet1!$B$1582</definedName>
    <definedName name="fhbv">Sheet1!$B$900</definedName>
    <definedName name="fhhh">Sheet1!$B$427</definedName>
    <definedName name="fhlm">Sheet1!$B$1297</definedName>
    <definedName name="fhpt">Sheet1!$B$2018</definedName>
    <definedName name="fhql">Sheet1!$B$969</definedName>
    <definedName name="fhqm">Sheet1!$B$1227</definedName>
    <definedName name="fhqr">Sheet1!$B$916</definedName>
    <definedName name="fhrb">Sheet1!$B$1731</definedName>
    <definedName name="fhvc">Sheet1!$B$2666</definedName>
    <definedName name="fhzl">Sheet1!$B$730</definedName>
    <definedName name="fjhr">Sheet1!$B$2643</definedName>
    <definedName name="fjjc">Sheet1!$B$639</definedName>
    <definedName name="fjlv">Sheet1!$B$1905</definedName>
    <definedName name="fjrd">Sheet1!$B$1479</definedName>
    <definedName name="fjrw">Sheet1!$B$1333</definedName>
    <definedName name="fjwb">Sheet1!$B$42</definedName>
    <definedName name="fjzq">Sheet1!$B$2685</definedName>
    <definedName name="flbp">Sheet1!$B$212</definedName>
    <definedName name="flgh">Sheet1!$B$898</definedName>
    <definedName name="flhn">Sheet1!$B$2086</definedName>
    <definedName name="flnj">Sheet1!$B$57</definedName>
    <definedName name="flwb">Sheet1!$B$2072</definedName>
    <definedName name="flwl">Sheet1!$B$171</definedName>
    <definedName name="fmdb">Sheet1!$B$2277</definedName>
    <definedName name="fmds">Sheet1!$B$2489</definedName>
    <definedName name="fmfm">Sheet1!$B$379</definedName>
    <definedName name="fmhr">Sheet1!$B$755</definedName>
    <definedName name="fmjb">Sheet1!$B$2460</definedName>
    <definedName name="fmjc">Sheet1!$B$2026</definedName>
    <definedName name="fmnd">Sheet1!$B$380</definedName>
    <definedName name="fmnv">Sheet1!$B$2658</definedName>
    <definedName name="fmpg">Sheet1!$B$813</definedName>
    <definedName name="fngh">Sheet1!$B$2243</definedName>
    <definedName name="fnpv">Sheet1!$B$2393</definedName>
    <definedName name="fnvn">Sheet1!$B$1350</definedName>
    <definedName name="fpdc">Sheet1!$B$2670</definedName>
    <definedName name="fplw">Sheet1!$B$981</definedName>
    <definedName name="fppg">Sheet1!$B$294</definedName>
    <definedName name="fppn">Sheet1!$B$1056</definedName>
    <definedName name="fqbn">Sheet1!$B$341</definedName>
    <definedName name="fqgg">Sheet1!$B$2051</definedName>
    <definedName name="fqhp">Sheet1!$B$740</definedName>
    <definedName name="fqjw">Sheet1!$B$368</definedName>
    <definedName name="fqmr">Sheet1!$B$1310</definedName>
    <definedName name="fqrh">Sheet1!$B$945</definedName>
    <definedName name="fqrj">Sheet1!$B$1936</definedName>
    <definedName name="frdq">Sheet1!$B$712</definedName>
    <definedName name="frgg">Sheet1!$B$1938</definedName>
    <definedName name="frjf">Sheet1!$B$1248</definedName>
    <definedName name="frjt">Sheet1!$B$2445</definedName>
    <definedName name="frlb">Sheet1!$B$1120</definedName>
    <definedName name="frpq">Sheet1!$B$2353</definedName>
    <definedName name="frrv">Sheet1!$B$768</definedName>
    <definedName name="frsn">Sheet1!$B$1884</definedName>
    <definedName name="frzv">Sheet1!$B$536</definedName>
    <definedName name="fsbd">Sheet1!$B$871</definedName>
    <definedName name="fsdw">Sheet1!$B$252</definedName>
    <definedName name="fsgb">Sheet1!$B$1894</definedName>
    <definedName name="fshs">Sheet1!$B$1237</definedName>
    <definedName name="fsjt">Sheet1!$B$561</definedName>
    <definedName name="fsqb">Sheet1!$B$1492</definedName>
    <definedName name="fsqc">Sheet1!$B$1457</definedName>
    <definedName name="fssq">Sheet1!$B$912</definedName>
    <definedName name="fssv">Sheet1!$B$953</definedName>
    <definedName name="fswf">Sheet1!$B$551</definedName>
    <definedName name="fswg">Sheet1!$B$1201</definedName>
    <definedName name="ftbp">Sheet1!$B$1523</definedName>
    <definedName name="fths">Sheet1!$B$1506</definedName>
    <definedName name="ftnw">Sheet1!$B$1166</definedName>
    <definedName name="ftpd">Sheet1!$B$2200</definedName>
    <definedName name="ftpg">Sheet1!$B$725</definedName>
    <definedName name="ftqp">Sheet1!$B$1100</definedName>
    <definedName name="ftvs">Sheet1!$B$425</definedName>
    <definedName name="fvbq">Sheet1!$B$1849</definedName>
    <definedName name="fvhj">Sheet1!$B$1216</definedName>
    <definedName name="fvjt">Sheet1!$B$2190</definedName>
    <definedName name="fvmv">Sheet1!$B$28</definedName>
    <definedName name="fvpc">Sheet1!$B$1243</definedName>
    <definedName name="fvqm">Sheet1!$B$1159</definedName>
    <definedName name="fvqt">Sheet1!$B$824</definedName>
    <definedName name="fvwq">Sheet1!$B$1536</definedName>
    <definedName name="fwgr">Sheet1!$B$374</definedName>
    <definedName name="fwhh">Sheet1!$B$416</definedName>
    <definedName name="fwlb">Sheet1!$B$1788</definedName>
    <definedName name="fwln">Sheet1!$B$185</definedName>
    <definedName name="fwlr">Sheet1!$B$472</definedName>
    <definedName name="fwsl">Sheet1!$B$2579</definedName>
    <definedName name="fwsv">Sheet1!$B$1830</definedName>
    <definedName name="fwtg">Sheet1!$B$972</definedName>
    <definedName name="fwzt">Sheet1!$B$99</definedName>
    <definedName name="fzgw">Sheet1!$B$739</definedName>
    <definedName name="fzms">Sheet1!$B$646</definedName>
    <definedName name="fzpn">Sheet1!$B$809</definedName>
    <definedName name="fzrq">Sheet1!$B$1818</definedName>
    <definedName name="fzwr">Sheet1!$B$989</definedName>
    <definedName name="fzzt">Sheet1!$B$250</definedName>
    <definedName name="gbgw">Sheet1!$B$143</definedName>
    <definedName name="gblb">Sheet1!$B$746</definedName>
    <definedName name="gblc">Sheet1!$B$1836</definedName>
    <definedName name="gblg">Sheet1!$B$650</definedName>
    <definedName name="gbnd">Sheet1!$B$1669</definedName>
    <definedName name="gbqp">Sheet1!$B$2091</definedName>
    <definedName name="gbqz">Sheet1!$B$852</definedName>
    <definedName name="gbrj">Sheet1!$B$2276</definedName>
    <definedName name="gbrr">Sheet1!$B$1110</definedName>
    <definedName name="gbtz">Sheet1!$B$2527</definedName>
    <definedName name="gbvr">Sheet1!$B$1219</definedName>
    <definedName name="gbzb">Sheet1!$B$1533</definedName>
    <definedName name="gchc">Sheet1!$B$1967</definedName>
    <definedName name="gchw">Sheet1!$B$879</definedName>
    <definedName name="gcjd">Sheet1!$B$142</definedName>
    <definedName name="gcjz">Sheet1!$B$1974</definedName>
    <definedName name="gcln">Sheet1!$B$1413</definedName>
    <definedName name="gcrd">Sheet1!$B$2313</definedName>
    <definedName name="gcsn">Sheet1!$B$1018</definedName>
    <definedName name="gctl">Sheet1!$B$2394</definedName>
    <definedName name="gczg">Sheet1!$B$331</definedName>
    <definedName name="gczl">Sheet1!$B$211</definedName>
    <definedName name="gczs">Sheet1!$B$1205</definedName>
    <definedName name="gdcj">Sheet1!$B$957</definedName>
    <definedName name="gddh">Sheet1!$B$1721</definedName>
    <definedName name="gdfr">Sheet1!$B$1816</definedName>
    <definedName name="gdnj">Sheet1!$B$732</definedName>
    <definedName name="gdnl">Sheet1!$B$1924</definedName>
    <definedName name="gdqd">Sheet1!$B$2147</definedName>
    <definedName name="gdqr">Sheet1!$B$1458</definedName>
    <definedName name="gdrl">Sheet1!$B$2251</definedName>
    <definedName name="gdsq">Sheet1!$B$334</definedName>
    <definedName name="gdsr">Sheet1!$B$662</definedName>
    <definedName name="gdsz">Sheet1!$B$526</definedName>
    <definedName name="gdzh">Sheet1!$B$2420</definedName>
    <definedName name="gfcd">Sheet1!$B$1876</definedName>
    <definedName name="gffg">Sheet1!$B$1169</definedName>
    <definedName name="gffr">Sheet1!$B$500</definedName>
    <definedName name="gflm">Sheet1!$B$1404</definedName>
    <definedName name="gflq">Sheet1!$B$339</definedName>
    <definedName name="gfmb">Sheet1!$B$688</definedName>
    <definedName name="gfsh">Sheet1!$B$937</definedName>
    <definedName name="gfvd">Sheet1!$B$1687</definedName>
    <definedName name="gfzs">Sheet1!$B$2069</definedName>
    <definedName name="ggfm">Sheet1!$B$2556</definedName>
    <definedName name="ggjg">Sheet1!$B$1865</definedName>
    <definedName name="ggll">Sheet1!$B$1308</definedName>
    <definedName name="ggnb">Sheet1!$B$1668</definedName>
    <definedName name="ggnn">Sheet1!$B$2410</definedName>
    <definedName name="ggpb">Sheet1!$B$1282</definedName>
    <definedName name="ggrf">Sheet1!$B$2285</definedName>
    <definedName name="ggvc">Sheet1!$B$191</definedName>
    <definedName name="ggzt">Sheet1!$B$1386</definedName>
    <definedName name="ghqg">Sheet1!$B$2509</definedName>
    <definedName name="ghtq">Sheet1!$B$2672</definedName>
    <definedName name="ghvt">Sheet1!$B$955</definedName>
    <definedName name="gjdq">Sheet1!$B$63</definedName>
    <definedName name="gjgw">Sheet1!$B$694</definedName>
    <definedName name="gjsc">Sheet1!$B$678</definedName>
    <definedName name="gjwj">Sheet1!$B$2400</definedName>
    <definedName name="gjzt">Sheet1!$B$2403</definedName>
    <definedName name="gldc">Sheet1!$B$88</definedName>
    <definedName name="gldq">Sheet1!$B$573</definedName>
    <definedName name="gljf">Sheet1!$B$136</definedName>
    <definedName name="gljs">Sheet1!$B$1975</definedName>
    <definedName name="glmd">Sheet1!$B$2030</definedName>
    <definedName name="glpn">Sheet1!$B$1919</definedName>
    <definedName name="glps">Sheet1!$B$1544</definedName>
    <definedName name="glqg">Sheet1!$B$1482</definedName>
    <definedName name="glws">Sheet1!$B$2391</definedName>
    <definedName name="gmbg">Sheet1!$B$874</definedName>
    <definedName name="gmbw">Sheet1!$B$1328</definedName>
    <definedName name="gmhr">Sheet1!$B$2065</definedName>
    <definedName name="gmld">Sheet1!$B$1979</definedName>
    <definedName name="gmlr">Sheet1!$B$603</definedName>
    <definedName name="gmnw">Sheet1!$B$1190</definedName>
    <definedName name="gmrp">Sheet1!$B$1407</definedName>
    <definedName name="gmsj">Sheet1!$B$56</definedName>
    <definedName name="gmwp">Sheet1!$B$2587</definedName>
    <definedName name="gndt">Sheet1!$B$886</definedName>
    <definedName name="gndz">Sheet1!$B$2622</definedName>
    <definedName name="gnfz">Sheet1!$B$133</definedName>
    <definedName name="gnpd">Sheet1!$B$801</definedName>
    <definedName name="gnpz">Sheet1!$B$233</definedName>
    <definedName name="gnqp">Sheet1!$B$823</definedName>
    <definedName name="gnsg">Sheet1!$B$3</definedName>
    <definedName name="gnwc">Sheet1!$B$975</definedName>
    <definedName name="gnzn">Sheet1!$B$1664</definedName>
    <definedName name="gpcg">Sheet1!$B$1807</definedName>
    <definedName name="gphq">Sheet1!$B$796</definedName>
    <definedName name="gqcv">Sheet1!$B$2342</definedName>
    <definedName name="gqdg">Sheet1!$B$693</definedName>
    <definedName name="gqgj">Sheet1!$B$2690</definedName>
    <definedName name="gqhq">Sheet1!$B$2431</definedName>
    <definedName name="gqlq">Sheet1!$B$1920</definedName>
    <definedName name="gqpp">Sheet1!$B$2626</definedName>
    <definedName name="gqqr">Sheet1!$B$1070</definedName>
    <definedName name="gqtt">Sheet1!$B$1365</definedName>
    <definedName name="gqvp">Sheet1!$B$1279</definedName>
    <definedName name="gqvv">Sheet1!$B$1221</definedName>
    <definedName name="gqwq">Sheet1!$B$642</definedName>
    <definedName name="gqzz">Sheet1!$B$1733</definedName>
    <definedName name="grgf">Sheet1!$B$2004</definedName>
    <definedName name="grgs">Sheet1!$B$1048</definedName>
    <definedName name="grln">Sheet1!$B$263</definedName>
    <definedName name="grmr">Sheet1!$B$421</definedName>
    <definedName name="grnh">Sheet1!$B$828</definedName>
    <definedName name="grrb">Sheet1!$B$158</definedName>
    <definedName name="grsv">Sheet1!$B$474</definedName>
    <definedName name="grws">Sheet1!$B$826</definedName>
    <definedName name="gsbn">Sheet1!$B$350</definedName>
    <definedName name="gsdr">Sheet1!$B$1652</definedName>
    <definedName name="gsfj">Sheet1!$B$854</definedName>
    <definedName name="gsft">Sheet1!$B$714</definedName>
    <definedName name="gsgf">Sheet1!$B$1825</definedName>
    <definedName name="gslc">Sheet1!$B$2054</definedName>
    <definedName name="gsmv">Sheet1!$B$1487</definedName>
    <definedName name="gspb">Sheet1!$B$1559</definedName>
    <definedName name="gsqp">Sheet1!$B$1580</definedName>
    <definedName name="gtfz">Sheet1!$B$1154</definedName>
    <definedName name="gtjc">Sheet1!$B$336</definedName>
    <definedName name="gtjm">Sheet1!$B$2317</definedName>
    <definedName name="gttj">Sheet1!$B$236</definedName>
    <definedName name="gtzp">Sheet1!$B$475</definedName>
    <definedName name="gvcr">Sheet1!$B$164</definedName>
    <definedName name="gvfg">Sheet1!$B$1657</definedName>
    <definedName name="gvht">Sheet1!$B$1076</definedName>
    <definedName name="gvjm">Sheet1!$B$859</definedName>
    <definedName name="gvmd">Sheet1!$B$896</definedName>
    <definedName name="gvpn">Sheet1!$B$1430</definedName>
    <definedName name="gwcc">Sheet1!$B$2223</definedName>
    <definedName name="gwfq">Sheet1!$B$2248</definedName>
    <definedName name="gwgm">Sheet1!$B$2294</definedName>
    <definedName name="gwjf">Sheet1!$B$522</definedName>
    <definedName name="gwjm">Sheet1!$B$1150</definedName>
    <definedName name="gwlf">Sheet1!$B$2543</definedName>
    <definedName name="gwpn">Sheet1!$B$2405</definedName>
    <definedName name="gwrb">Sheet1!$B$1025</definedName>
    <definedName name="gzfn">Sheet1!$B$2525</definedName>
    <definedName name="gzhz">Sheet1!$B$1883</definedName>
    <definedName name="gzmv">Sheet1!$B$716</definedName>
    <definedName name="gzsv">Sheet1!$B$2266</definedName>
    <definedName name="gzww">Sheet1!$B$1112</definedName>
    <definedName name="hbbv">Sheet1!$B$2616</definedName>
    <definedName name="hbcq">Sheet1!$B$710</definedName>
    <definedName name="hbdh">Sheet1!$B$2370</definedName>
    <definedName name="hbjc">Sheet1!$B$686</definedName>
    <definedName name="hbln">Sheet1!$B$806</definedName>
    <definedName name="hbmp">Sheet1!$B$2076</definedName>
    <definedName name="hbmr">Sheet1!$B$1336</definedName>
    <definedName name="hbnm">Sheet1!$B$1284</definedName>
    <definedName name="hbns">Sheet1!$B$719</definedName>
    <definedName name="hbqw">Sheet1!$B$2476</definedName>
    <definedName name="hbtb">Sheet1!$B$632</definedName>
    <definedName name="hbtr">Sheet1!$B$121</definedName>
    <definedName name="hbvd">Sheet1!$B$1677</definedName>
    <definedName name="hcbm">Sheet1!$B$1040</definedName>
    <definedName name="hccv">Sheet1!$B$1842</definedName>
    <definedName name="hcdv">Sheet1!$B$2024</definedName>
    <definedName name="hcfq">Sheet1!$B$2512</definedName>
    <definedName name="hchd">Sheet1!$B$349</definedName>
    <definedName name="hchn">Sheet1!$B$1689</definedName>
    <definedName name="hclm">Sheet1!$B$1553</definedName>
    <definedName name="hcmh">Sheet1!$B$1257</definedName>
    <definedName name="hcmr">Sheet1!$B$1453</definedName>
    <definedName name="hcnv">Sheet1!$B$1091</definedName>
    <definedName name="hcpl">Sheet1!$B$927</definedName>
    <definedName name="hcsn">Sheet1!$B$1278</definedName>
    <definedName name="hcsr">Sheet1!$B$210</definedName>
    <definedName name="hctp">Sheet1!$B$983</definedName>
    <definedName name="hcts">Sheet1!$B$2340</definedName>
    <definedName name="hczs">Sheet1!$B$911</definedName>
    <definedName name="hdjt">Sheet1!$B$697</definedName>
    <definedName name="hdnn">Sheet1!$B$1017</definedName>
    <definedName name="hdpr">Sheet1!$B$1443</definedName>
    <definedName name="hdpt">Sheet1!$B$952</definedName>
    <definedName name="hdvf">Sheet1!$B$521</definedName>
    <definedName name="hfbb">Sheet1!$B$867</definedName>
    <definedName name="hfbv">Sheet1!$B$209</definedName>
    <definedName name="hfcl">Sheet1!$B$2041</definedName>
    <definedName name="hfdq">Sheet1!$B$159</definedName>
    <definedName name="hfjm">Sheet1!$B$2678</definedName>
    <definedName name="hfmd">Sheet1!$B$1462</definedName>
    <definedName name="hfmg">Sheet1!$B$360</definedName>
    <definedName name="hfnn">Sheet1!$B$1376</definedName>
    <definedName name="hfpr">Sheet1!$B$1502</definedName>
    <definedName name="hfss">Sheet1!$B$21</definedName>
    <definedName name="hfvw">Sheet1!$B$2194</definedName>
    <definedName name="hfzr">Sheet1!$B$92</definedName>
    <definedName name="hfzt">Sheet1!$B$905</definedName>
    <definedName name="hgcd">Sheet1!$B$1543</definedName>
    <definedName name="hgcp">Sheet1!$B$2457</definedName>
    <definedName name="hgfg">Sheet1!$B$214</definedName>
    <definedName name="hggm">Sheet1!$B$1092</definedName>
    <definedName name="hglp">Sheet1!$B$1083</definedName>
    <definedName name="hgtf">Sheet1!$B$1581</definedName>
    <definedName name="hgvw">Sheet1!$B$287</definedName>
    <definedName name="hgwg">Sheet1!$B$2106</definedName>
    <definedName name="hhbj">Sheet1!$B$130</definedName>
    <definedName name="hhdm">Sheet1!$B$2149</definedName>
    <definedName name="hhds">Sheet1!$B$1699</definedName>
    <definedName name="hhgt">Sheet1!$B$62</definedName>
    <definedName name="hhmq">Sheet1!$B$1375</definedName>
    <definedName name="hhnb">Sheet1!$B$1866</definedName>
    <definedName name="hhnt">Sheet1!$B$1238</definedName>
    <definedName name="hhwh">Sheet1!$B$2199</definedName>
    <definedName name="hhzp">Sheet1!$B$1043</definedName>
    <definedName name="hjbt">Sheet1!$B$2688</definedName>
    <definedName name="hjdh">Sheet1!$B$2071</definedName>
    <definedName name="hjds">Sheet1!$B$2058</definedName>
    <definedName name="hjls">Sheet1!$B$2615</definedName>
    <definedName name="hjrw">Sheet1!$B$738</definedName>
    <definedName name="hjsw">Sheet1!$B$1173</definedName>
    <definedName name="hlcm">Sheet1!$B$1233</definedName>
    <definedName name="hlcp">Sheet1!$B$20</definedName>
    <definedName name="hlht">Sheet1!$B$1422</definedName>
    <definedName name="hlmj">Sheet1!$B$1853</definedName>
    <definedName name="hlqb">Sheet1!$B$735</definedName>
    <definedName name="hlqd">Sheet1!$B$2481</definedName>
    <definedName name="hlqq">Sheet1!$B$516</definedName>
    <definedName name="hlsn">Sheet1!$B$690</definedName>
    <definedName name="hlzd">Sheet1!$B$232</definedName>
    <definedName name="hmbc">Sheet1!$B$2550</definedName>
    <definedName name="hmch">Sheet1!$B$2107</definedName>
    <definedName name="hmcv">Sheet1!$B$1249</definedName>
    <definedName name="hmdt">Sheet1!$B$355</definedName>
    <definedName name="hmfr">Sheet1!$B$1868</definedName>
    <definedName name="hmfz">Sheet1!$B$1225</definedName>
    <definedName name="hmgv">Sheet1!$B$411</definedName>
    <definedName name="hmls">Sheet1!$B$2093</definedName>
    <definedName name="hmqs">Sheet1!$B$2464</definedName>
    <definedName name="hmrb">Sheet1!$B$1289</definedName>
    <definedName name="hmwf">Sheet1!$B$298</definedName>
    <definedName name="hnbl">Sheet1!$B$347</definedName>
    <definedName name="hnct">Sheet1!$B$2691</definedName>
    <definedName name="hnfz">Sheet1!$B$2484</definedName>
    <definedName name="hnhp">Sheet1!$B$2542</definedName>
    <definedName name="hnhs">Sheet1!$B$572</definedName>
    <definedName name="hnlt">Sheet1!$B$1962</definedName>
    <definedName name="hnmm">Sheet1!$B$1870</definedName>
    <definedName name="hnvb">Sheet1!$B$2702</definedName>
    <definedName name="hpbc">Sheet1!$B$2504</definedName>
    <definedName name="hpdd">Sheet1!$B$184</definedName>
    <definedName name="hpdl">Sheet1!$B$352</definedName>
    <definedName name="hpdn">Sheet1!$B$1481</definedName>
    <definedName name="hpdz">Sheet1!$B$1539</definedName>
    <definedName name="hpfr">Sheet1!$B$292</definedName>
    <definedName name="hphq">Sheet1!$B$1514</definedName>
    <definedName name="hphz">Sheet1!$B$1758</definedName>
    <definedName name="hpmd">Sheet1!$B$1720</definedName>
    <definedName name="hpmn">Sheet1!$B$2517</definedName>
    <definedName name="hprc">Sheet1!$B$148</definedName>
    <definedName name="hpwf">Sheet1!$B$878</definedName>
    <definedName name="hpzr">Sheet1!$B$238</definedName>
    <definedName name="hqbr">Sheet1!$B$1488</definedName>
    <definedName name="hqbt">Sheet1!$B$1681</definedName>
    <definedName name="hqch">Sheet1!$B$1715</definedName>
    <definedName name="hqdc">Sheet1!$B$1952</definedName>
    <definedName name="hqdn">Sheet1!$B$2278</definedName>
    <definedName name="hqhv">Sheet1!$B$1955</definedName>
    <definedName name="hqjz">Sheet1!$B$2022</definedName>
    <definedName name="hqlq">Sheet1!$B$2516</definedName>
    <definedName name="hqmb">Sheet1!$B$1786</definedName>
    <definedName name="hqmn">Sheet1!$B$2652</definedName>
    <definedName name="hqnp">Sheet1!$B$83</definedName>
    <definedName name="hqnr">Sheet1!$B$1665</definedName>
    <definedName name="hqnz">Sheet1!$B$2016</definedName>
    <definedName name="hrbq">Sheet1!$B$2618</definedName>
    <definedName name="hrgg">Sheet1!$B$1416</definedName>
    <definedName name="hrmd">Sheet1!$B$2669</definedName>
    <definedName name="hrnf">Sheet1!$B$2346</definedName>
    <definedName name="hrnj">Sheet1!$B$2047</definedName>
    <definedName name="hrpz">Sheet1!$B$438</definedName>
    <definedName name="hrvv">Sheet1!$B$1096</definedName>
    <definedName name="hscb">Sheet1!$B$562</definedName>
    <definedName name="hsdq">Sheet1!$B$1508</definedName>
    <definedName name="hsfn">Sheet1!$B$548</definedName>
    <definedName name="hsnn">Sheet1!$B$90</definedName>
    <definedName name="hspt">Sheet1!$B$484</definedName>
    <definedName name="htbd">Sheet1!$B$2572</definedName>
    <definedName name="htcn">Sheet1!$B$1704</definedName>
    <definedName name="htqn">Sheet1!$B$1821</definedName>
    <definedName name="htqw">Sheet1!$B$2663</definedName>
    <definedName name="htvj">Sheet1!$B$2419</definedName>
    <definedName name="htww">Sheet1!$B$1073</definedName>
    <definedName name="htzn">Sheet1!$B$1890</definedName>
    <definedName name="humn">Sheet1!$B$1397</definedName>
    <definedName name="hvfr">Sheet1!$B$2103</definedName>
    <definedName name="hvhj">Sheet1!$B$685</definedName>
    <definedName name="hvjj">Sheet1!$B$2687</definedName>
    <definedName name="hvlg">Sheet1!$B$590</definedName>
    <definedName name="hvqz">Sheet1!$B$2351</definedName>
    <definedName name="hvsg">Sheet1!$B$256</definedName>
    <definedName name="hvsm">Sheet1!$B$586</definedName>
    <definedName name="hvtp">Sheet1!$B$623</definedName>
    <definedName name="hvtr">Sheet1!$B$1471</definedName>
    <definedName name="hvwp">Sheet1!$B$2036</definedName>
    <definedName name="hwbw">Sheet1!$B$2066</definedName>
    <definedName name="hwcg">Sheet1!$B$2695</definedName>
    <definedName name="hwll">Sheet1!$B$2181</definedName>
    <definedName name="hwln">Sheet1!$B$1327</definedName>
    <definedName name="hwmg">Sheet1!$B$207</definedName>
    <definedName name="hzcg">Sheet1!$B$938</definedName>
    <definedName name="hzgc">Sheet1!$B$2435</definedName>
    <definedName name="hzhc">Sheet1!$B$671</definedName>
    <definedName name="hzhf">Sheet1!$B$1507</definedName>
    <definedName name="hzhr">Sheet1!$B$1324</definedName>
    <definedName name="hznq">Sheet1!$B$2682</definedName>
    <definedName name="hzpg">Sheet1!$B$128</definedName>
    <definedName name="hzpn">Sheet1!$B$528</definedName>
    <definedName name="hzpt">Sheet1!$B$264</definedName>
    <definedName name="hzrt">Sheet1!$B$857</definedName>
    <definedName name="hzsg">Sheet1!$B$1139</definedName>
    <definedName name="hzsh">Sheet1!$B$2422</definedName>
    <definedName name="hzwg">Sheet1!$B$134</definedName>
    <definedName name="hzzp">Sheet1!$B$1427</definedName>
    <definedName name="jbcb">Sheet1!$B$2443</definedName>
    <definedName name="jbhb">Sheet1!$B$958</definedName>
    <definedName name="jbls">Sheet1!$B$2125</definedName>
    <definedName name="jbwl">Sheet1!$B$799</definedName>
    <definedName name="jcbp">Sheet1!$B$389</definedName>
    <definedName name="jccn">Sheet1!$B$1583</definedName>
    <definedName name="jcdn">Sheet1!$B$443</definedName>
    <definedName name="jcdw">Sheet1!$B$818</definedName>
    <definedName name="jcfj">Sheet1!$B$991</definedName>
    <definedName name="jcjp">Sheet1!$B$1935</definedName>
    <definedName name="jcjs">Sheet1!$B$1780</definedName>
    <definedName name="jclw">Sheet1!$B$1587</definedName>
    <definedName name="jcnn">Sheet1!$B$1767</definedName>
    <definedName name="jcpj">Sheet1!$B$1423</definedName>
    <definedName name="jcqs">Sheet1!$B$1265</definedName>
    <definedName name="jcsq">Sheet1!$B$2109</definedName>
    <definedName name="jcsw">Sheet1!$B$1722</definedName>
    <definedName name="jcvd">Sheet1!$B$1214</definedName>
    <definedName name="jcwh">Sheet1!$B$1643</definedName>
    <definedName name="jcwp">Sheet1!$B$1254</definedName>
    <definedName name="jczp">Sheet1!$B$2319</definedName>
    <definedName name="jczr">Sheet1!$B$1678</definedName>
    <definedName name="jdbd">Sheet1!$B$1312</definedName>
    <definedName name="jddn">Sheet1!$B$890</definedName>
    <definedName name="jdgm">Sheet1!$B$954</definedName>
    <definedName name="jdmc">Sheet1!$B$1764</definedName>
    <definedName name="jdqq">Sheet1!$B$59</definedName>
    <definedName name="jdqw">Sheet1!$B$1765</definedName>
    <definedName name="jdsb">Sheet1!$B$2176</definedName>
    <definedName name="jdvb">Sheet1!$B$406</definedName>
    <definedName name="jdwq">Sheet1!$B$1286</definedName>
    <definedName name="jfbb">Sheet1!$B$2039</definedName>
    <definedName name="jfhf">Sheet1!$B$2159</definedName>
    <definedName name="jfnp">Sheet1!$B$300</definedName>
    <definedName name="jfnr">Sheet1!$B$1907</definedName>
    <definedName name="jfpv">Sheet1!$B$2314</definedName>
    <definedName name="jfqj">Sheet1!$B$1274</definedName>
    <definedName name="jfrp">Sheet1!$B$1776</definedName>
    <definedName name="jgcf">Sheet1!$B$563</definedName>
    <definedName name="jgfl">Sheet1!$B$1923</definedName>
    <definedName name="jgfp">Sheet1!$B$2035</definedName>
    <definedName name="jgmg">Sheet1!$B$2401</definedName>
    <definedName name="jgpd">Sheet1!$B$841</definedName>
    <definedName name="jgrd">Sheet1!$B$2283</definedName>
    <definedName name="jgsn">Sheet1!$B$504</definedName>
    <definedName name="jgvd">Sheet1!$B$306</definedName>
    <definedName name="jgzl">Sheet1!$B$488</definedName>
    <definedName name="jhcr">Sheet1!$B$2127</definedName>
    <definedName name="jhdf">Sheet1!$B$2116</definedName>
    <definedName name="jhgf">Sheet1!$B$1392</definedName>
    <definedName name="jhgp">Sheet1!$B$2078</definedName>
    <definedName name="jhhj">Sheet1!$B$520</definedName>
    <definedName name="jhjf">Sheet1!$B$876</definedName>
    <definedName name="jhjh">Sheet1!$B$780</definedName>
    <definedName name="jhmj">Sheet1!$B$1903</definedName>
    <definedName name="jhpf">Sheet1!$B$1294</definedName>
    <definedName name="jhpr">Sheet1!$B$2082</definedName>
    <definedName name="jjbd">Sheet1!$B$2437</definedName>
    <definedName name="jjbm">Sheet1!$B$973</definedName>
    <definedName name="jjfq">Sheet1!$B$2546</definedName>
    <definedName name="jjjz">Sheet1!$B$567</definedName>
    <definedName name="jjwr">Sheet1!$B$2205</definedName>
    <definedName name="jlbh">Sheet1!$B$110</definedName>
    <definedName name="jldj">Sheet1!$B$503</definedName>
    <definedName name="jlff">Sheet1!$B$1895</definedName>
    <definedName name="jllh">Sheet1!$B$554</definedName>
    <definedName name="jlnj">Sheet1!$B$705</definedName>
    <definedName name="jlpb">Sheet1!$B$1024</definedName>
    <definedName name="jlvt">Sheet1!$B$1094</definedName>
    <definedName name="jmdz">Sheet1!$B$2458</definedName>
    <definedName name="jmqz">Sheet1!$B$102</definedName>
    <definedName name="jmrf">Sheet1!$B$1843</definedName>
    <definedName name="jmvc">Sheet1!$B$95</definedName>
    <definedName name="jnbd">Sheet1!$B$2549</definedName>
    <definedName name="jnbr">Sheet1!$B$2427</definedName>
    <definedName name="jncn">Sheet1!$B$606</definedName>
    <definedName name="jnct">Sheet1!$B$2449</definedName>
    <definedName name="jnhg">Sheet1!$B$1729</definedName>
    <definedName name="jnhj">Sheet1!$B$415</definedName>
    <definedName name="jnjq">Sheet1!$B$956</definedName>
    <definedName name="jnld">Sheet1!$B$2214</definedName>
    <definedName name="jnqm">Sheet1!$B$105</definedName>
    <definedName name="jnqr">Sheet1!$B$1138</definedName>
    <definedName name="jnqw">Sheet1!$B$1945</definedName>
    <definedName name="jnrz">Sheet1!$B$1833</definedName>
    <definedName name="jnzm">Sheet1!$B$2023</definedName>
    <definedName name="jpbs">Sheet1!$B$1292</definedName>
    <definedName name="jpdg">Sheet1!$B$437</definedName>
    <definedName name="jpdt">Sheet1!$B$1038</definedName>
    <definedName name="jpdw">Sheet1!$B$54</definedName>
    <definedName name="jpgp">Sheet1!$B$307</definedName>
    <definedName name="jphc">Sheet1!$B$122</definedName>
    <definedName name="jppl">Sheet1!$B$670</definedName>
    <definedName name="jppq">Sheet1!$B$1072</definedName>
    <definedName name="jpqz">Sheet1!$B$1782</definedName>
    <definedName name="jpsb">Sheet1!$B$104</definedName>
    <definedName name="jpvw">Sheet1!$B$1357</definedName>
    <definedName name="jpzn">Sheet1!$B$2300</definedName>
    <definedName name="jpzq">Sheet1!$B$1322</definedName>
    <definedName name="jqbn">Sheet1!$B$2621</definedName>
    <definedName name="jqcr">Sheet1!$B$546</definedName>
    <definedName name="jqdc">Sheet1!$B$2467</definedName>
    <definedName name="jqdw">Sheet1!$B$2237</definedName>
    <definedName name="jqff">Sheet1!$B$884</definedName>
    <definedName name="jqfq">Sheet1!$B$1769</definedName>
    <definedName name="jqjm">Sheet1!$B$2216</definedName>
    <definedName name="jqnh">Sheet1!$B$677</definedName>
    <definedName name="jqvn">Sheet1!$B$13</definedName>
    <definedName name="jqvz">Sheet1!$B$66</definedName>
    <definedName name="jrcr">Sheet1!$B$1526</definedName>
    <definedName name="jrfb">Sheet1!$B$1893</definedName>
    <definedName name="jrgn">Sheet1!$B$44</definedName>
    <definedName name="jrld">Sheet1!$B$966</definedName>
    <definedName name="jrnr">Sheet1!$B$1541</definedName>
    <definedName name="jrrn">Sheet1!$B$2674</definedName>
    <definedName name="jrrq">Sheet1!$B$1518</definedName>
    <definedName name="jrzc">Sheet1!$B$2589</definedName>
    <definedName name="jrzs">Sheet1!$B$754</definedName>
    <definedName name="jsfb">Sheet1!$B$2242</definedName>
    <definedName name="jsfs">Sheet1!$B$1240</definedName>
    <definedName name="jshj">Sheet1!$B$1062</definedName>
    <definedName name="jshp">Sheet1!$B$2255</definedName>
    <definedName name="jsms">Sheet1!$B$814</definedName>
    <definedName name="jsqn">Sheet1!$B$2124</definedName>
    <definedName name="jsqp">Sheet1!$B$1625</definedName>
    <definedName name="jsqt">Sheet1!$B$2055</definedName>
    <definedName name="jsqw">Sheet1!$B$2056</definedName>
    <definedName name="jsrs">Sheet1!$B$23</definedName>
    <definedName name="jssm">Sheet1!$B$1185</definedName>
    <definedName name="jssw">Sheet1!$B$1435</definedName>
    <definedName name="jstb">Sheet1!$B$206</definedName>
    <definedName name="jsvd">Sheet1!$B$317</definedName>
    <definedName name="jsvp">Sheet1!$B$2521</definedName>
    <definedName name="jswp">Sheet1!$B$2414</definedName>
    <definedName name="jszm">Sheet1!$B$924</definedName>
    <definedName name="jtbj">Sheet1!$B$186</definedName>
    <definedName name="jtdd">Sheet1!$B$600</definedName>
    <definedName name="jtjj">Sheet1!$B$1636</definedName>
    <definedName name="jtpg">Sheet1!$B$674</definedName>
    <definedName name="jtph">Sheet1!$B$2134</definedName>
    <definedName name="jtpm">Sheet1!$B$2192</definedName>
    <definedName name="jtpw">Sheet1!$B$1454</definedName>
    <definedName name="jtwm">Sheet1!$B$2197</definedName>
    <definedName name="jvmf">Sheet1!$B$2081</definedName>
    <definedName name="jvpg">Sheet1!$B$922</definedName>
    <definedName name="jvpl">Sheet1!$B$395</definedName>
    <definedName name="jvpm">Sheet1!$B$2291</definedName>
    <definedName name="jvtr">Sheet1!$B$1160</definedName>
    <definedName name="jvzn">Sheet1!$B$1635</definedName>
    <definedName name="jwcv">Sheet1!$B$1708</definedName>
    <definedName name="jwhr">Sheet1!$B$2270</definedName>
    <definedName name="jwnj">Sheet1!$B$762</definedName>
    <definedName name="jwph">Sheet1!$B$70</definedName>
    <definedName name="jwql">Sheet1!$B$1</definedName>
    <definedName name="jwwr">Sheet1!$B$2133</definedName>
    <definedName name="jzbv">Sheet1!$B$15</definedName>
    <definedName name="jzhw">Sheet1!$B$631</definedName>
    <definedName name="jzhz">Sheet1!$B$2354</definedName>
    <definedName name="jzpn">Sheet1!$B$1411</definedName>
    <definedName name="jzps">Sheet1!$B$1158</definedName>
    <definedName name="jzqd">Sheet1!$B$2384</definedName>
    <definedName name="jzth">Sheet1!$B$1779</definedName>
    <definedName name="lbbb">Sheet1!$B$777</definedName>
    <definedName name="lbhd">Sheet1!$B$2442</definedName>
    <definedName name="lbhh">Sheet1!$B$1347</definedName>
    <definedName name="lbht">Sheet1!$B$1633</definedName>
    <definedName name="lbnq">Sheet1!$B$612</definedName>
    <definedName name="lbzl">Sheet1!$B$2281</definedName>
    <definedName name="lcmm">Sheet1!$B$483</definedName>
    <definedName name="lcst">Sheet1!$B$436</definedName>
    <definedName name="lctb">Sheet1!$B$1417</definedName>
    <definedName name="lcwp">Sheet1!$B$1006</definedName>
    <definedName name="ldcc">Sheet1!$B$939</definedName>
    <definedName name="ldch">Sheet1!$B$2575</definedName>
    <definedName name="ldcj">Sheet1!$B$1455</definedName>
    <definedName name="ldcn">Sheet1!$B$515</definedName>
    <definedName name="lddv">Sheet1!$B$19</definedName>
    <definedName name="ldgd">Sheet1!$B$1561</definedName>
    <definedName name="ldgh">Sheet1!$B$2520</definedName>
    <definedName name="ldjd">Sheet1!$B$997</definedName>
    <definedName name="ldnh">Sheet1!$B$1011</definedName>
    <definedName name="ldvj">Sheet1!$B$40</definedName>
    <definedName name="lfcg">Sheet1!$B$519</definedName>
    <definedName name="lfdb">Sheet1!$B$941</definedName>
    <definedName name="lfgc">Sheet1!$B$1899</definedName>
    <definedName name="lfgv">Sheet1!$B$1593</definedName>
    <definedName name="lfjq">Sheet1!$B$1787</definedName>
    <definedName name="lfqf">Sheet1!$B$7</definedName>
    <definedName name="lfrm">Sheet1!$B$1440</definedName>
    <definedName name="lfvh">Sheet1!$B$78</definedName>
    <definedName name="lggm">Sheet1!$B$936</definedName>
    <definedName name="lgln">Sheet1!$B$1432</definedName>
    <definedName name="lgnj">Sheet1!$B$2361</definedName>
    <definedName name="lgpm">Sheet1!$B$1494</definedName>
    <definedName name="lgpq">Sheet1!$B$790</definedName>
    <definedName name="lgst">Sheet1!$B$1301</definedName>
    <definedName name="lgvd">Sheet1!$B$13</definedName>
    <definedName name="lhcg">Sheet1!$B$1719</definedName>
    <definedName name="lhcr">Sheet1!$B$2689</definedName>
    <definedName name="lhfl">Sheet1!$B$2183</definedName>
    <definedName name="lhfq">Sheet1!$B$2573</definedName>
    <definedName name="lhjp">Sheet1!$B$140</definedName>
    <definedName name="lhml">Sheet1!$B$1348</definedName>
    <definedName name="lhpg">Sheet1!$B$1638</definedName>
    <definedName name="lhpt">Sheet1!$B$365</definedName>
    <definedName name="lhwn">Sheet1!$B$2406</definedName>
    <definedName name="ljcm">Sheet1!$B$783</definedName>
    <definedName name="ljgn">Sheet1!$B$9</definedName>
    <definedName name="ljhq">Sheet1!$B$1680</definedName>
    <definedName name="ljjb">Sheet1!$B$1318</definedName>
    <definedName name="ljlj">Sheet1!$B$467</definedName>
    <definedName name="ljng">Sheet1!$B$1550</definedName>
    <definedName name="ljpc">Sheet1!$B$2020</definedName>
    <definedName name="ljqw">Sheet1!$B$18</definedName>
    <definedName name="ljtw">Sheet1!$B$1135</definedName>
    <definedName name="llbw">Sheet1!$B$73</definedName>
    <definedName name="llcr">Sheet1!$B$756</definedName>
    <definedName name="llhf">Sheet1!$B$1418</definedName>
    <definedName name="lljn">Sheet1!$B$68</definedName>
    <definedName name="lllf">Sheet1!$B$1321</definedName>
    <definedName name="llmq">Sheet1!$B$837</definedName>
    <definedName name="llpb">Sheet1!$B$48</definedName>
    <definedName name="lltc">Sheet1!$B$1516</definedName>
    <definedName name="llvf">Sheet1!$B$1854</definedName>
    <definedName name="llzj">Sheet1!$B$1208</definedName>
    <definedName name="llzl">Sheet1!$B$302</definedName>
    <definedName name="llzw">Sheet1!$B$1727</definedName>
    <definedName name="lmbf">Sheet1!$B$608</definedName>
    <definedName name="lmcn">Sheet1!$B$359</definedName>
    <definedName name="lmlf">Sheet1!$B$803</definedName>
    <definedName name="lmlq">Sheet1!$B$2577</definedName>
    <definedName name="lmvq">Sheet1!$B$463</definedName>
    <definedName name="lmzd">Sheet1!$B$982</definedName>
    <definedName name="lncq">Sheet1!$B$1390</definedName>
    <definedName name="lncv">Sheet1!$B$2064</definedName>
    <definedName name="lndq">Sheet1!$B$943</definedName>
    <definedName name="lnrd">Sheet1!$B$1319</definedName>
    <definedName name="lnsn">Sheet1!$B$2043</definedName>
    <definedName name="lnwm">Sheet1!$B$1349</definedName>
    <definedName name="lpfg">Sheet1!$B$2328</definedName>
    <definedName name="lphm">Sheet1!$B$2637</definedName>
    <definedName name="lpjt">Sheet1!$B$1398</definedName>
    <definedName name="lplv">Sheet1!$B$2563</definedName>
    <definedName name="lpmb">Sheet1!$B$2639</definedName>
    <definedName name="lpqd">Sheet1!$B$2576</definedName>
    <definedName name="lpqn">Sheet1!$B$2175</definedName>
    <definedName name="lpwc">Sheet1!$B$733</definedName>
    <definedName name="lpzn">Sheet1!$B$2029</definedName>
    <definedName name="lqgf">Sheet1!$B$2530</definedName>
    <definedName name="lqgr">Sheet1!$B$2686</definedName>
    <definedName name="lqht">Sheet1!$B$1897</definedName>
    <definedName name="lqjf">Sheet1!$B$1064</definedName>
    <definedName name="lqlp">Sheet1!$B$448</definedName>
    <definedName name="lqml">Sheet1!$B$531</definedName>
    <definedName name="lqqm">Sheet1!$B$2638</definedName>
    <definedName name="lqqq">Sheet1!$B$1940</definedName>
    <definedName name="lqwt">Sheet1!$B$1065</definedName>
    <definedName name="lrjv">Sheet1!$B$1540</definedName>
    <definedName name="lrjz">Sheet1!$B$2675</definedName>
    <definedName name="lrnh">Sheet1!$B$2186</definedName>
    <definedName name="lrpc">Sheet1!$B$367</definedName>
    <definedName name="lrsm">Sheet1!$B$1058</definedName>
    <definedName name="lrvl">Sheet1!$B$1918</definedName>
    <definedName name="lsbq">Sheet1!$B$2613</definedName>
    <definedName name="lscw">Sheet1!$B$2289</definedName>
    <definedName name="lsdf">Sheet1!$B$1549</definedName>
    <definedName name="lsfg">Sheet1!$B$2356</definedName>
    <definedName name="lsmc">Sheet1!$B$962</definedName>
    <definedName name="lsnc">Sheet1!$B$763</definedName>
    <definedName name="lsrv">Sheet1!$B$1996</definedName>
    <definedName name="lsth">Sheet1!$B$10</definedName>
    <definedName name="lsvd">Sheet1!$B$496</definedName>
    <definedName name="lswd">Sheet1!$B$1196</definedName>
    <definedName name="lszf">Sheet1!$B$153</definedName>
    <definedName name="ltcn">Sheet1!$B$2126</definedName>
    <definedName name="lthz">Sheet1!$B$370</definedName>
    <definedName name="ltnc">Sheet1!$B$2468</definedName>
    <definedName name="ltng">Sheet1!$B$132</definedName>
    <definedName name="ltrm">Sheet1!$B$2333</definedName>
    <definedName name="ltsr">Sheet1!$B$382</definedName>
    <definedName name="lttd">Sheet1!$B$1379</definedName>
    <definedName name="lvcn">Sheet1!$B$1448</definedName>
    <definedName name="lvdf">Sheet1!$B$1338</definedName>
    <definedName name="lvlg">Sheet1!$B$2204</definedName>
    <definedName name="lvnq">Sheet1!$B$778</definedName>
    <definedName name="lvpl">Sheet1!$B$2094</definedName>
    <definedName name="lvqb">Sheet1!$B$1943</definedName>
    <definedName name="lvtd">Sheet1!$B$1177</definedName>
    <definedName name="lwcm">Sheet1!$B$2178</definedName>
    <definedName name="lwdc">Sheet1!$B$125</definedName>
    <definedName name="lwgd">Sheet1!$B$333</definedName>
    <definedName name="lwpm">Sheet1!$B$1572</definedName>
    <definedName name="lzdp">Sheet1!$B$2111</definedName>
    <definedName name="lzfd">Sheet1!$B$644</definedName>
    <definedName name="lzlf">Sheet1!$B$649</definedName>
    <definedName name="lzlp">Sheet1!$B$412</definedName>
    <definedName name="lzqm">Sheet1!$B$2290</definedName>
    <definedName name="lzqv">Sheet1!$B$1277</definedName>
    <definedName name="lzvn">Sheet1!$B$1069</definedName>
    <definedName name="lzwp">Sheet1!$B$220</definedName>
    <definedName name="lzwz">Sheet1!$B$2515</definedName>
    <definedName name="lzzq">Sheet1!$B$381</definedName>
    <definedName name="mbbj">Sheet1!$B$1128</definedName>
    <definedName name="mbgw">Sheet1!$B$1545</definedName>
    <definedName name="mbnh">Sheet1!$B$265</definedName>
    <definedName name="mbps">Sheet1!$B$2522</definedName>
    <definedName name="mbqg">Sheet1!$B$442</definedName>
    <definedName name="mbrr">Sheet1!$B$1189</definedName>
    <definedName name="mbtc">Sheet1!$B$784</definedName>
    <definedName name="mbtj">Sheet1!$B$2258</definedName>
    <definedName name="mbvj">Sheet1!$B$2501</definedName>
    <definedName name="mbwc">Sheet1!$B$1877</definedName>
    <definedName name="mcbj">Sheet1!$B$866</definedName>
    <definedName name="mccr">Sheet1!$B$2564</definedName>
    <definedName name="mchl">Sheet1!$B$1155</definedName>
    <definedName name="mchq">Sheet1!$B$1211</definedName>
    <definedName name="mchz">Sheet1!$B$1710</definedName>
    <definedName name="mcmn">Sheet1!$B$1711</definedName>
    <definedName name="mcnj">Sheet1!$B$506</definedName>
    <definedName name="mcnt">Sheet1!$B$1709</definedName>
    <definedName name="mcqn">Sheet1!$B$2371</definedName>
    <definedName name="mcsm">Sheet1!$B$1151</definedName>
    <definedName name="mcvf">Sheet1!$B$1300</definedName>
    <definedName name="mdcb">Sheet1!$B$1130</definedName>
    <definedName name="mdcf">Sheet1!$B$2596</definedName>
    <definedName name="mdfl">Sheet1!$B$480</definedName>
    <definedName name="mdgl">Sheet1!$B$45</definedName>
    <definedName name="mdgm">Sheet1!$B$5</definedName>
    <definedName name="mdlm">Sheet1!$B$2694</definedName>
    <definedName name="mdlr">Sheet1!$B$170</definedName>
    <definedName name="mdqc">Sheet1!$B$865</definedName>
    <definedName name="mdqs">Sheet1!$B$1060</definedName>
    <definedName name="mdrc">Sheet1!$B$1387</definedName>
    <definedName name="mdrn">Sheet1!$B$1517</definedName>
    <definedName name="mdwn">Sheet1!$B$1968</definedName>
    <definedName name="mfdb">Sheet1!$B$702</definedName>
    <definedName name="mfdj">Sheet1!$B$311</definedName>
    <definedName name="mfdn">Sheet1!$B$1095</definedName>
    <definedName name="mffn">Sheet1!$B$1425</definedName>
    <definedName name="mfgw">Sheet1!$B$2123</definedName>
    <definedName name="mfjv">Sheet1!$B$1304</definedName>
    <definedName name="mflt">Sheet1!$B$163</definedName>
    <definedName name="mfqc">Sheet1!$B$43</definedName>
    <definedName name="mfrr">Sheet1!$B$2118</definedName>
    <definedName name="mftn">Sheet1!$B$935</definedName>
    <definedName name="mftz">Sheet1!$B$417</definedName>
    <definedName name="mfzn">Sheet1!$B$1244</definedName>
    <definedName name="mglh">Sheet1!$B$994</definedName>
    <definedName name="mgsz">Sheet1!$B$150</definedName>
    <definedName name="mgws">Sheet1!$B$1815</definedName>
    <definedName name="mgzc">Sheet1!$B$899</definedName>
    <definedName name="mgzs">Sheet1!$B$81</definedName>
    <definedName name="mhch">Sheet1!$B$1881</definedName>
    <definedName name="mhfc">Sheet1!$B$2154</definedName>
    <definedName name="mhgb">Sheet1!$B$1578</definedName>
    <definedName name="mhgd">Sheet1!$B$2605</definedName>
    <definedName name="mhhf">Sheet1!$B$2656</definedName>
    <definedName name="mhhm">Sheet1!$B$2584</definedName>
    <definedName name="mhmt">Sheet1!$B$1354</definedName>
    <definedName name="mhmw">Sheet1!$B$1451</definedName>
    <definedName name="mhnb">Sheet1!$B$1203</definedName>
    <definedName name="mhtm">Sheet1!$B$1179</definedName>
    <definedName name="mhzj">Sheet1!$B$1956</definedName>
    <definedName name="mjgz">Sheet1!$B$2647</definedName>
    <definedName name="mjmv">Sheet1!$B$947</definedName>
    <definedName name="mjnm">Sheet1!$B$2100</definedName>
    <definedName name="mjqq">Sheet1!$B$283</definedName>
    <definedName name="mjrf">Sheet1!$B$1041</definedName>
    <definedName name="mjzn">Sheet1!$B$490</definedName>
    <definedName name="mlcw">Sheet1!$B$2295</definedName>
    <definedName name="mlhf">Sheet1!$B$2497</definedName>
    <definedName name="mlhs">Sheet1!$B$1993</definedName>
    <definedName name="mljz">Sheet1!$B$2368</definedName>
    <definedName name="mlrb">Sheet1!$B$1090</definedName>
    <definedName name="mltz">Sheet1!$B$1941</definedName>
    <definedName name="mmcc">Sheet1!$B$2531</definedName>
    <definedName name="mmcp">Sheet1!$B$2265</definedName>
    <definedName name="mmdc">Sheet1!$B$486</definedName>
    <definedName name="mmhg">Sheet1!$B$687</definedName>
    <definedName name="mmlh">Sheet1!$B$1607</definedName>
    <definedName name="mmlw">Sheet1!$B$602</definedName>
    <definedName name="mmmf">Sheet1!$B$2416</definedName>
    <definedName name="mmqs">Sheet1!$B$1499</definedName>
    <definedName name="mmsr">Sheet1!$B$643</definedName>
    <definedName name="mnjr">Sheet1!$B$357</definedName>
    <definedName name="mnqc">Sheet1!$B$248</definedName>
    <definedName name="mnqf">Sheet1!$B$1795</definedName>
    <definedName name="mnrh">Sheet1!$B$1394</definedName>
    <definedName name="mnrl">Sheet1!$B$60</definedName>
    <definedName name="mnrs">Sheet1!$B$1384</definedName>
    <definedName name="mnzh">Sheet1!$B$2385</definedName>
    <definedName name="mpbg">Sheet1!$B$636</definedName>
    <definedName name="mpbr">Sheet1!$B$2407</definedName>
    <definedName name="mpch">Sheet1!$B$1571</definedName>
    <definedName name="mpfd">Sheet1!$B$2560</definedName>
    <definedName name="mpjs">Sheet1!$B$1906</definedName>
    <definedName name="mpqs">Sheet1!$B$35</definedName>
    <definedName name="mqbd">Sheet1!$B$1101</definedName>
    <definedName name="mqbf">Sheet1!$B$1077</definedName>
    <definedName name="mqcr">Sheet1!$B$1814</definedName>
    <definedName name="mqhl">Sheet1!$B$1646</definedName>
    <definedName name="mqlc">Sheet1!$B$2657</definedName>
    <definedName name="mqnf">Sheet1!$B$2562</definedName>
    <definedName name="mqqh">Sheet1!$B$321</definedName>
    <definedName name="mqqs">Sheet1!$B$718</definedName>
    <definedName name="mqqt">Sheet1!$B$2454</definedName>
    <definedName name="mqrc">Sheet1!$B$2235</definedName>
    <definedName name="mqrv">Sheet1!$B$157</definedName>
    <definedName name="mqsc">Sheet1!$B$1242</definedName>
    <definedName name="mqst">Sheet1!$B$1124</definedName>
    <definedName name="mqvq">Sheet1!$B$2322</definedName>
    <definedName name="mqzg">Sheet1!$B$1213</definedName>
    <definedName name="mqzv">Sheet1!$B$2164</definedName>
    <definedName name="mrbb">Sheet1!$B$2433</definedName>
    <definedName name="mrcm">Sheet1!$B$1929</definedName>
    <definedName name="mrfv">Sheet1!$B$862</definedName>
    <definedName name="mrgb">Sheet1!$B$1500</definedName>
    <definedName name="mrmz">Sheet1!$B$345</definedName>
    <definedName name="mrrb">Sheet1!$B$1293</definedName>
    <definedName name="mrst">Sheet1!$B$67</definedName>
    <definedName name="mrwj">Sheet1!$B$2505</definedName>
    <definedName name="msbj">Sheet1!$B$2380</definedName>
    <definedName name="msht">Sheet1!$B$1149</definedName>
    <definedName name="mslc">Sheet1!$B$599</definedName>
    <definedName name="mslt">Sheet1!$B$2198</definedName>
    <definedName name="msnd">Sheet1!$B$1869</definedName>
    <definedName name="mspz">Sheet1!$B$65</definedName>
    <definedName name="mssp">Sheet1!$B$944</definedName>
    <definedName name="mstb">Sheet1!$B$55</definedName>
    <definedName name="mstr">Sheet1!$B$914</definedName>
    <definedName name="msvl">Sheet1!$B$1649</definedName>
    <definedName name="mtmh">Sheet1!$B$1855</definedName>
    <definedName name="mtmt">Sheet1!$B$401</definedName>
    <definedName name="mtns">Sheet1!$B$453</definedName>
    <definedName name="mtpt">Sheet1!$B$1696</definedName>
    <definedName name="mtzs">Sheet1!$B$1512</definedName>
    <definedName name="mvbv">Sheet1!$B$1299</definedName>
    <definedName name="mvdw">Sheet1!$B$1775</definedName>
    <definedName name="mvrp">Sheet1!$B$2177</definedName>
    <definedName name="mvsd">Sheet1!$B$1951</definedName>
    <definedName name="mvvt">Sheet1!$B$1405</definedName>
    <definedName name="mwgw">Sheet1!$B$2271</definedName>
    <definedName name="mwpn">Sheet1!$B$607</definedName>
    <definedName name="mwvg">Sheet1!$B$493</definedName>
    <definedName name="mwwf">Sheet1!$B$227</definedName>
    <definedName name="mzbv">Sheet1!$B$656</definedName>
    <definedName name="mzcr">Sheet1!$B$1928</definedName>
    <definedName name="mzfw">Sheet1!$B$2234</definedName>
    <definedName name="mzgg">Sheet1!$B$1519</definedName>
    <definedName name="mzmr">Sheet1!$B$492</definedName>
    <definedName name="mzpv">Sheet1!$B$1186</definedName>
    <definedName name="mzpw">Sheet1!$B$930</definedName>
    <definedName name="mzrj">Sheet1!$B$794</definedName>
    <definedName name="mzsc">Sheet1!$B$1800</definedName>
    <definedName name="mzwg">Sheet1!$B$838</definedName>
    <definedName name="mzzl">Sheet1!$B$444</definedName>
    <definedName name="nbcp">Sheet1!$B$2203</definedName>
    <definedName name="nbft">Sheet1!$B$1223</definedName>
    <definedName name="nbjt">Sheet1!$B$622</definedName>
    <definedName name="nbmh">Sheet1!$B$2339</definedName>
    <definedName name="nbmz">Sheet1!$B$1838</definedName>
    <definedName name="nbwg">Sheet1!$B$2683</definedName>
    <definedName name="ncdw">Sheet1!$B$1261</definedName>
    <definedName name="ncfz">Sheet1!$B$748</definedName>
    <definedName name="ncgq">Sheet1!$B$2578</definedName>
    <definedName name="nchs">Sheet1!$B$2513</definedName>
    <definedName name="ncnp">Sheet1!$B$1290</definedName>
    <definedName name="ncrb">Sheet1!$B$257</definedName>
    <definedName name="nctf">Sheet1!$B$94</definedName>
    <definedName name="nctq">Sheet1!$B$1195</definedName>
    <definedName name="ndbs">Sheet1!$B$2179</definedName>
    <definedName name="nddv">Sheet1!$B$74</definedName>
    <definedName name="ndfj">Sheet1!$B$330</definedName>
    <definedName name="ndgq">Sheet1!$B$1501</definedName>
    <definedName name="ndhv">Sheet1!$B$988</definedName>
    <definedName name="ndlq">Sheet1!$B$2236</definedName>
    <definedName name="ndrd">Sheet1!$B$64</definedName>
    <definedName name="ndzf">Sheet1!$B$152</definedName>
    <definedName name="ndzz">Sheet1!$B$1281</definedName>
    <definedName name="nfcq">Sheet1!$B$494</definedName>
    <definedName name="nfgw">Sheet1!$B$2452</definedName>
    <definedName name="nfjp">Sheet1!$B$1873</definedName>
    <definedName name="nflt">Sheet1!$B$664</definedName>
    <definedName name="nfnw">Sheet1!$B$2399</definedName>
    <definedName name="nfzd">Sheet1!$B$1066</definedName>
    <definedName name="nfzh">Sheet1!$B$324</definedName>
    <definedName name="ngfn">Sheet1!$B$476</definedName>
    <definedName name="nghl">Sheet1!$B$711</definedName>
    <definedName name="nhfg">Sheet1!$B$1939</definedName>
    <definedName name="nhfm">Sheet1!$B$2268</definedName>
    <definedName name="nhgb">Sheet1!$B$2677</definedName>
    <definedName name="nhpc">Sheet1!$B$1460</definedName>
    <definedName name="nhtd">Sheet1!$B$1573</definedName>
    <definedName name="nhzt">Sheet1!$B$1557</definedName>
    <definedName name="njbl">Sheet1!$B$2120</definedName>
    <definedName name="njbp">Sheet1!$B$976</definedName>
    <definedName name="njbt">Sheet1!$B$1140</definedName>
    <definedName name="njpf">Sheet1!$B$1547</definedName>
    <definedName name="njrg">Sheet1!$B$2211</definedName>
    <definedName name="njtt">Sheet1!$B$629</definedName>
    <definedName name="nlfv">Sheet1!$B$1546</definedName>
    <definedName name="nlrq">Sheet1!$B$2080</definedName>
    <definedName name="nltt">Sheet1!$B$2316</definedName>
    <definedName name="nltz">Sheet1!$B$1661</definedName>
    <definedName name="nlwj">Sheet1!$B$2508</definedName>
    <definedName name="nlzv">Sheet1!$B$1142</definedName>
    <definedName name="nmdm">Sheet1!$B$2545</definedName>
    <definedName name="nmgl">Sheet1!$B$296</definedName>
    <definedName name="nmjh">Sheet1!$B$2681</definedName>
    <definedName name="nmjj">Sheet1!$B$624</definedName>
    <definedName name="nmjq">Sheet1!$B$246</definedName>
    <definedName name="nmmz">Sheet1!$B$50</definedName>
    <definedName name="nmpt">Sheet1!$B$286</definedName>
    <definedName name="nmpz">Sheet1!$B$2554</definedName>
    <definedName name="nmzl">Sheet1!$B$1396</definedName>
    <definedName name="nmzt">Sheet1!$B$289</definedName>
    <definedName name="nncr">Sheet1!$B$1366</definedName>
    <definedName name="nnfl">Sheet1!$B$2496</definedName>
    <definedName name="nnhf">Sheet1!$B$634</definedName>
    <definedName name="nnmr">Sheet1!$B$2027</definedName>
    <definedName name="nnnd">Sheet1!$B$1271</definedName>
    <definedName name="nnnz">Sheet1!$B$883</definedName>
    <definedName name="nnqd">Sheet1!$B$1046</definedName>
    <definedName name="nntm">Sheet1!$B$555</definedName>
    <definedName name="nnvt">Sheet1!$B$2163</definedName>
    <definedName name="npbq">Sheet1!$B$1241</definedName>
    <definedName name="npcm">Sheet1!$B$428</definedName>
    <definedName name="npct">Sheet1!$B$1353</definedName>
    <definedName name="npff">Sheet1!$B$2590</definedName>
    <definedName name="npgd">Sheet1!$B$1878</definedName>
    <definedName name="nplj">Sheet1!$B$2232</definedName>
    <definedName name="nplz">Sheet1!$B$471</definedName>
    <definedName name="npmd">Sheet1!$B$1383</definedName>
    <definedName name="npnv">Sheet1!$B$1183</definedName>
    <definedName name="npqh">Sheet1!$B$1360</definedName>
    <definedName name="npqm">Sheet1!$B$17</definedName>
    <definedName name="nptq">Sheet1!$B$987</definedName>
    <definedName name="npvb">Sheet1!$B$2005</definedName>
    <definedName name="npwc">Sheet1!$B$513</definedName>
    <definedName name="npzq">Sheet1!$B$1948</definedName>
    <definedName name="nqbp">Sheet1!$B$2038</definedName>
    <definedName name="nqcw">Sheet1!$B$2136</definedName>
    <definedName name="nqhd">Sheet1!$B$1385</definedName>
    <definedName name="nqjg">Sheet1!$B$571</definedName>
    <definedName name="nqmh">Sheet1!$B$2583</definedName>
    <definedName name="nqsh">Sheet1!$B$1143</definedName>
    <definedName name="nqvl">Sheet1!$B$1966</definedName>
    <definedName name="nqvv">Sheet1!$B$2002</definedName>
    <definedName name="nqwl">Sheet1!$B$1628</definedName>
    <definedName name="nrcs">Sheet1!$B$1552</definedName>
    <definedName name="nrdc">Sheet1!$B$424</definedName>
    <definedName name="nrdn">Sheet1!$B$393</definedName>
    <definedName name="nrdv">Sheet1!$B$1351</definedName>
    <definedName name="nrjd">Sheet1!$B$2073</definedName>
    <definedName name="nrjf">Sheet1!$B$2097</definedName>
    <definedName name="nrnq">Sheet1!$B$1464</definedName>
    <definedName name="nrpj">Sheet1!$B$1513</definedName>
    <definedName name="nrrh">Sheet1!$B$2553</definedName>
    <definedName name="nrrs">Sheet1!$B$553</definedName>
    <definedName name="nrsw">Sheet1!$B$880</definedName>
    <definedName name="nrzv">Sheet1!$B$2612</definedName>
    <definedName name="nsbq">Sheet1!$B$1802</definedName>
    <definedName name="nsbz">Sheet1!$B$1497</definedName>
    <definedName name="nscs">Sheet1!$B$1751</definedName>
    <definedName name="nsfh">Sheet1!$B$1931</definedName>
    <definedName name="nshb">Sheet1!$B$272</definedName>
    <definedName name="nsjg">Sheet1!$B$758</definedName>
    <definedName name="nsjn">Sheet1!$B$1874</definedName>
    <definedName name="nsmv">Sheet1!$B$2668</definedName>
    <definedName name="nsqn">Sheet1!$B$2061</definedName>
    <definedName name="nsrr">Sheet1!$B$2031</definedName>
    <definedName name="nsvp">Sheet1!$B$1167</definedName>
    <definedName name="nszr">Sheet1!$B$1168</definedName>
    <definedName name="ntcs">Sheet1!$B$1344</definedName>
    <definedName name="ntfg">Sheet1!$B$255</definedName>
    <definedName name="ntfw">Sheet1!$B$661</definedName>
    <definedName name="ntlg">Sheet1!$B$2015</definedName>
    <definedName name="ntnd">Sheet1!$B$2548</definedName>
    <definedName name="ntqj">Sheet1!$B$356</definedName>
    <definedName name="ntqn">Sheet1!$B$224</definedName>
    <definedName name="ntrd">Sheet1!$B$848</definedName>
    <definedName name="nttm">Sheet1!$B$1247</definedName>
    <definedName name="ntzv">Sheet1!$B$1084</definedName>
    <definedName name="nvbg">Sheet1!$B$2568</definedName>
    <definedName name="nvdq">Sheet1!$B$2344</definedName>
    <definedName name="nvff">Sheet1!$B$596</definedName>
    <definedName name="nvjn">Sheet1!$B$1690</definedName>
    <definedName name="nvmp">Sheet1!$B$1193</definedName>
    <definedName name="nvmr">Sheet1!$B$1988</definedName>
    <definedName name="nvns">Sheet1!$B$2594</definedName>
    <definedName name="nwbb">Sheet1!$B$84</definedName>
    <definedName name="nwcr">Sheet1!$B$894</definedName>
    <definedName name="nwcz">Sheet1!$B$524</definedName>
    <definedName name="nwdj">Sheet1!$B$619</definedName>
    <definedName name="nwdn">Sheet1!$B$858</definedName>
    <definedName name="nwfv">Sheet1!$B$527</definedName>
    <definedName name="nwgd">Sheet1!$B$258</definedName>
    <definedName name="nwmh">Sheet1!$B$2492</definedName>
    <definedName name="nwqb">Sheet1!$B$933</definedName>
    <definedName name="nwqh">Sheet1!$B$1882</definedName>
    <definedName name="nwqn">Sheet1!$B$27</definedName>
    <definedName name="nwrh">Sheet1!$B$518</definedName>
    <definedName name="nwrq">Sheet1!$B$498</definedName>
    <definedName name="nwvt">Sheet1!$B$793</definedName>
    <definedName name="nwzj">Sheet1!$B$2698</definedName>
    <definedName name="nzbh">Sheet1!$B$964</definedName>
    <definedName name="nzdm">Sheet1!$B$2375</definedName>
    <definedName name="nzhv">Sheet1!$B$995</definedName>
    <definedName name="nzjh">Sheet1!$B$530</definedName>
    <definedName name="nztn">Sheet1!$B$1783</definedName>
    <definedName name="nzvf">Sheet1!$B$1280</definedName>
    <definedName name="pbdh">Sheet1!$B$604</definedName>
    <definedName name="pbfd">Sheet1!$B$1217</definedName>
    <definedName name="pblw">Sheet1!$B$1613</definedName>
    <definedName name="pbmt">Sheet1!$B$1759</definedName>
    <definedName name="pbps">Sheet1!$B$462</definedName>
    <definedName name="pbrd">Sheet1!$B$6</definedName>
    <definedName name="pbzw">Sheet1!$B$1020</definedName>
    <definedName name="pcbt">Sheet1!$B$977</definedName>
    <definedName name="pccf">Sheet1!$B$508</definedName>
    <definedName name="pcch">Sheet1!$B$46</definedName>
    <definedName name="pccp">Sheet1!$B$295</definedName>
    <definedName name="pcgj">Sheet1!$B$1334</definedName>
    <definedName name="pcmd">Sheet1!$B$2157</definedName>
    <definedName name="pcms">Sheet1!$B$1188</definedName>
    <definedName name="pcpr">Sheet1!$B$1305</definedName>
    <definedName name="pctv">Sheet1!$B$1023</definedName>
    <definedName name="pcvp">Sheet1!$B$1313</definedName>
    <definedName name="pczj">Sheet1!$B$177</definedName>
    <definedName name="pdbf">Sheet1!$B$772</definedName>
    <definedName name="pdbl">Sheet1!$B$1632</definedName>
    <definedName name="pdcc">Sheet1!$B$249</definedName>
    <definedName name="pdfq">Sheet1!$B$1978</definedName>
    <definedName name="pdhl">Sheet1!$B$1634</definedName>
    <definedName name="pdhv">Sheet1!$B$2059</definedName>
    <definedName name="pdmm">Sheet1!$B$1306</definedName>
    <definedName name="pdpj">Sheet1!$B$166</definedName>
    <definedName name="pdvp">Sheet1!$B$353</definedName>
    <definedName name="pfbd">Sheet1!$B$226</definedName>
    <definedName name="pfph">Sheet1!$B$1030</definedName>
    <definedName name="pfqq">Sheet1!$B$1172</definedName>
    <definedName name="pfrc">Sheet1!$B$1760</definedName>
    <definedName name="pfsv">Sheet1!$B$1888</definedName>
    <definedName name="pftj">Sheet1!$B$959</definedName>
    <definedName name="pfwg">Sheet1!$B$2275</definedName>
    <definedName name="pfzs">Sheet1!$B$1511</definedName>
    <definedName name="pgdm">Sheet1!$B$2191</definedName>
    <definedName name="pggp">Sheet1!$B$1469</definedName>
    <definedName name="pgjt">Sheet1!$B$630</definedName>
    <definedName name="pgnd">Sheet1!$B$889</definedName>
    <definedName name="pgnh">Sheet1!$B$1008</definedName>
    <definedName name="pgpg">Sheet1!$B$2432</definedName>
    <definedName name="pgph">Sheet1!$B$115</definedName>
    <definedName name="pgts">Sheet1!$B$668</definedName>
    <definedName name="pgzn">Sheet1!$B$1867</definedName>
    <definedName name="phdl">Sheet1!$B$2098</definedName>
    <definedName name="phjq">Sheet1!$B$1316</definedName>
    <definedName name="phmr">Sheet1!$B$1791</definedName>
    <definedName name="phps">Sheet1!$B$1930</definedName>
    <definedName name="phpv">Sheet1!$B$2625</definedName>
    <definedName name="phvl">Sheet1!$B$419</definedName>
    <definedName name="pjbz">Sheet1!$B$1772</definedName>
    <definedName name="pjdp">Sheet1!$B$2329</definedName>
    <definedName name="pjhq">Sheet1!$B$635</definedName>
    <definedName name="pjjv">Sheet1!$B$2541</definedName>
    <definedName name="pjlg">Sheet1!$B$1844</definedName>
    <definedName name="pjpg">Sheet1!$B$1609</definedName>
    <definedName name="pjpp">Sheet1!$B$875</definedName>
    <definedName name="pjsw">Sheet1!$B$1164</definedName>
    <definedName name="plgc">Sheet1!$B$928</definedName>
    <definedName name="plgj">Sheet1!$B$1088</definedName>
    <definedName name="pljj">Sheet1!$B$842</definedName>
    <definedName name="plms">Sheet1!$B$1602</definedName>
    <definedName name="plnq">Sheet1!$B$931</definedName>
    <definedName name="pmdd">Sheet1!$B$2019</definedName>
    <definedName name="pmgn">Sheet1!$B$2514</definedName>
    <definedName name="pmlq">Sheet1!$B$461</definedName>
    <definedName name="pnbb">Sheet1!$B$137</definedName>
    <definedName name="pndw">Sheet1!$B$2534</definedName>
    <definedName name="pngf">Sheet1!$B$470</definedName>
    <definedName name="pngh">Sheet1!$B$2700</definedName>
    <definedName name="pnhw">Sheet1!$B$1200</definedName>
    <definedName name="pnjv">Sheet1!$B$782</definedName>
    <definedName name="pnrd">Sheet1!$B$696</definedName>
    <definedName name="pnvf">Sheet1!$B$1736</definedName>
    <definedName name="pnvs">Sheet1!$B$1886</definedName>
    <definedName name="pnwh">Sheet1!$B$2642</definedName>
    <definedName name="pphc">Sheet1!$B$2282</definedName>
    <definedName name="ppld">Sheet1!$B$683</definedName>
    <definedName name="pplm">Sheet1!$B$1157</definedName>
    <definedName name="pplv">Sheet1!$B$2357</definedName>
    <definedName name="pppw">Sheet1!$B$12</definedName>
    <definedName name="ppvm">Sheet1!$B$903</definedName>
    <definedName name="ppwg">Sheet1!$B$805</definedName>
    <definedName name="ppwp">Sheet1!$B$218</definedName>
    <definedName name="ppzf">Sheet1!$B$2377</definedName>
    <definedName name="pqcp">Sheet1!$B$1358</definedName>
    <definedName name="pqdz">Sheet1!$B$1641</definedName>
    <definedName name="pqfd">Sheet1!$B$680</definedName>
    <definedName name="pqhs">Sheet1!$B$641</definedName>
    <definedName name="pqmw">Sheet1!$B$872</definedName>
    <definedName name="pqrq">Sheet1!$B$1437</definedName>
    <definedName name="pqtl">Sheet1!$B$1861</definedName>
    <definedName name="prbs">Sheet1!$B$1683</definedName>
    <definedName name="prcs">Sheet1!$B$2117</definedName>
    <definedName name="prdc">Sheet1!$B$1486</definedName>
    <definedName name="prgp">Sheet1!$B$773</definedName>
    <definedName name="prhh">Sheet1!$B$2142</definedName>
    <definedName name="prjp">Sheet1!$B$961</definedName>
    <definedName name="prml">Sheet1!$B$804</definedName>
    <definedName name="prmp">Sheet1!$B$2208</definedName>
    <definedName name="prms">Sheet1!$B$1670</definedName>
    <definedName name="prpz">Sheet1!$B$1314</definedName>
    <definedName name="prqv">Sheet1!$B$2302</definedName>
    <definedName name="prsn">Sheet1!$B$512</definedName>
    <definedName name="prsr">Sheet1!$B$1226</definedName>
    <definedName name="prvz">Sheet1!$B$2382</definedName>
    <definedName name="prwg">Sheet1!$B$1575</definedName>
    <definedName name="przd">Sheet1!$B$1789</definedName>
    <definedName name="przn">Sheet1!$B$430</definedName>
    <definedName name="pscr">Sheet1!$B$47</definedName>
    <definedName name="psdb">Sheet1!$B$131</definedName>
    <definedName name="psdm">Sheet1!$B$1538</definedName>
    <definedName name="psfm">Sheet1!$B$1827</definedName>
    <definedName name="psfs">Sheet1!$B$76</definedName>
    <definedName name="psmc">Sheet1!$B$1770</definedName>
    <definedName name="pspv">Sheet1!$B$1403</definedName>
    <definedName name="psrr">Sheet1!$B$452</definedName>
    <definedName name="psvd">Sheet1!$B$2104</definedName>
    <definedName name="psww">Sheet1!$B$2537</definedName>
    <definedName name="ptbt">Sheet1!$B$267</definedName>
    <definedName name="ptcg">Sheet1!$B$2693</definedName>
    <definedName name="ptdq">Sheet1!$B$5</definedName>
    <definedName name="ptff">Sheet1!$B$960</definedName>
    <definedName name="ptgb">Sheet1!$B$1121</definedName>
    <definedName name="pthm">Sheet1!$B$332</definedName>
    <definedName name="ptjc">Sheet1!$B$2001</definedName>
    <definedName name="ptjj">Sheet1!$B$397</definedName>
    <definedName name="ptpf">Sheet1!$B$2352</definedName>
    <definedName name="ptsl">Sheet1!$B$2535</definedName>
    <definedName name="pvch">Sheet1!$B$2456</definedName>
    <definedName name="pvdl">Sheet1!$B$1438</definedName>
    <definedName name="pvgh">Sheet1!$B$1245</definedName>
    <definedName name="pvlz">Sheet1!$B$1352</definedName>
    <definedName name="pvnt">Sheet1!$B$2267</definedName>
    <definedName name="pvpg">Sheet1!$B$2162</definedName>
    <definedName name="pvpm">Sheet1!$B$1098</definedName>
    <definedName name="pvqn">Sheet1!$B$510</definedName>
    <definedName name="pvqq">Sheet1!$B$1031</definedName>
    <definedName name="pvsc">Sheet1!$B$1402</definedName>
    <definedName name="pvzz">Sheet1!$B$1187</definedName>
    <definedName name="pwdf">Sheet1!$B$2570</definedName>
    <definedName name="pwdp">Sheet1!$B$1763</definedName>
    <definedName name="pwdz">Sheet1!$B$1343</definedName>
    <definedName name="pwfn">Sheet1!$B$2215</definedName>
    <definedName name="pwld">Sheet1!$B$1408</definedName>
    <definedName name="pwmf">Sheet1!$B$1726</definedName>
    <definedName name="pwpp">Sheet1!$B$2404</definedName>
    <definedName name="pwrg">Sheet1!$B$240</definedName>
    <definedName name="pwsg">Sheet1!$B$1916</definedName>
    <definedName name="pwtz">Sheet1!$B$154</definedName>
    <definedName name="pzbr">Sheet1!$B$2495</definedName>
    <definedName name="pzfd">Sheet1!$B$1612</definedName>
    <definedName name="pzgm">Sheet1!$B$2660</definedName>
    <definedName name="pzlb">Sheet1!$B$1089</definedName>
    <definedName name="pzmr">Sheet1!$B$787</definedName>
    <definedName name="pztq">Sheet1!$B$1400</definedName>
    <definedName name="pzwn">Sheet1!$B$2326</definedName>
    <definedName name="qbbv">Sheet1!$B$1700</definedName>
    <definedName name="qbbz">Sheet1!$B$2148</definedName>
    <definedName name="qbgz">Sheet1!$B$2558</definedName>
    <definedName name="qbhg">Sheet1!$B$529</definedName>
    <definedName name="qbjg">Sheet1!$B$1753</definedName>
    <definedName name="qbnw">Sheet1!$B$385</definedName>
    <definedName name="qbrz">Sheet1!$B$259</definedName>
    <definedName name="qccb">Sheet1!$B$999</definedName>
    <definedName name="qcct">Sheet1!$B$2155</definedName>
    <definedName name="qcfr">Sheet1!$B$2532</definedName>
    <definedName name="qcjd">Sheet1!$B$1230</definedName>
    <definedName name="qcjg">Sheet1!$B$1364</definedName>
    <definedName name="qcsg">Sheet1!$B$1368</definedName>
    <definedName name="qcst">Sheet1!$B$1067</definedName>
    <definedName name="qcwr">Sheet1!$B$2306</definedName>
    <definedName name="qdbz">Sheet1!$B$2150</definedName>
    <definedName name="qdcn">Sheet1!$B$2585</definedName>
    <definedName name="qdgc">Sheet1!$B$1209</definedName>
    <definedName name="qdhs">Sheet1!$B$1044</definedName>
    <definedName name="qdjt">Sheet1!$B$342</definedName>
    <definedName name="qdlj">Sheet1!$B$2483</definedName>
    <definedName name="qdrm">Sheet1!$B$420</definedName>
    <definedName name="qdtj">Sheet1!$B$200</definedName>
    <definedName name="qdtr">Sheet1!$B$1922</definedName>
    <definedName name="qdzq">Sheet1!$B$1970</definedName>
    <definedName name="qffn">Sheet1!$B$1192</definedName>
    <definedName name="qfsg">Sheet1!$B$1345</definedName>
    <definedName name="qfsr">Sheet1!$B$447</definedName>
    <definedName name="qgbl">Sheet1!$B$942</definedName>
    <definedName name="qgbp">Sheet1!$B$1218</definedName>
    <definedName name="qgdc">Sheet1!$B$753</definedName>
    <definedName name="qgfd">Sheet1!$B$2447</definedName>
    <definedName name="qgfq">Sheet1!$B$1529</definedName>
    <definedName name="qghq">Sheet1!$B$978</definedName>
    <definedName name="qgld">Sheet1!$B$269</definedName>
    <definedName name="qglr">Sheet1!$B$2331</definedName>
    <definedName name="qgmp">Sheet1!$B$1565</definedName>
    <definedName name="qgnj">Sheet1!$B$1129</definedName>
    <definedName name="qgrd">Sheet1!$B$1378</definedName>
    <definedName name="qgrs">Sheet1!$B$106</definedName>
    <definedName name="qgtn">Sheet1!$B$33</definedName>
    <definedName name="qgzb">Sheet1!$B$1703</definedName>
    <definedName name="qhjq">Sheet1!$B$1778</definedName>
    <definedName name="qhlm">Sheet1!$B$1902</definedName>
    <definedName name="qhnd">Sheet1!$B$1717</definedName>
    <definedName name="qhpv">Sheet1!$B$679</definedName>
    <definedName name="qhvb">Sheet1!$B$757</definedName>
    <definedName name="qhvt">Sheet1!$B$1047</definedName>
    <definedName name="qhwt">Sheet1!$B$769</definedName>
    <definedName name="qjcz">Sheet1!$B$254</definedName>
    <definedName name="qjft">Sheet1!$B$1757</definedName>
    <definedName name="qjjt">Sheet1!$B$2634</definedName>
    <definedName name="qjjz">Sheet1!$B$2651</definedName>
    <definedName name="qjlm">Sheet1!$B$1272</definedName>
    <definedName name="qjsz">Sheet1!$B$698</definedName>
    <definedName name="qjtc">Sheet1!$B$1864</definedName>
    <definedName name="qlbs">Sheet1!$B$1078</definedName>
    <definedName name="qlbt">Sheet1!$B$1393</definedName>
    <definedName name="qlcr">Sheet1!$B$253</definedName>
    <definedName name="qlfn">Sheet1!$B$1307</definedName>
    <definedName name="qlhv">Sheet1!$B$2650</definedName>
    <definedName name="qlrf">Sheet1!$B$1068</definedName>
    <definedName name="qlrw">Sheet1!$B$1468</definedName>
    <definedName name="qlst">Sheet1!$B$1117</definedName>
    <definedName name="qmcg">Sheet1!$B$2374</definedName>
    <definedName name="qmdq">Sheet1!$B$853</definedName>
    <definedName name="qmdr">Sheet1!$B$1750</definedName>
    <definedName name="qmfz">Sheet1!$B$2608</definedName>
    <definedName name="qmhg">Sheet1!$B$441</definedName>
    <definedName name="qmjb">Sheet1!$B$1570</definedName>
    <definedName name="qmjn">Sheet1!$B$2202</definedName>
    <definedName name="qmrs">Sheet1!$B$582</definedName>
    <definedName name="qmvc">Sheet1!$B$2595</definedName>
    <definedName name="qmvl">Sheet1!$B$505</definedName>
    <definedName name="qmvv">Sheet1!$B$241</definedName>
    <definedName name="qmwm">Sheet1!$B$1178</definedName>
    <definedName name="qmzp">Sheet1!$B$1688</definedName>
    <definedName name="qnfb">Sheet1!$B$651</definedName>
    <definedName name="qnnl">Sheet1!$B$1220</definedName>
    <definedName name="qnpz">Sheet1!$B$478</definedName>
    <definedName name="qnqp">Sheet1!$B$1372</definedName>
    <definedName name="qnww">Sheet1!$B$426</definedName>
    <definedName name="qpdn">Sheet1!$B$570</definedName>
    <definedName name="qphq">Sheet1!$B$588</definedName>
    <definedName name="qppr">Sheet1!$B$1644</definedName>
    <definedName name="qpqn">Sheet1!$B$2110</definedName>
    <definedName name="qpqs">Sheet1!$B$278</definedName>
    <definedName name="qpth">Sheet1!$B$25</definedName>
    <definedName name="qpwh">Sheet1!$B$358</definedName>
    <definedName name="qpwv">Sheet1!$B$1812</definedName>
    <definedName name="qqbd">Sheet1!$B$1997</definedName>
    <definedName name="qqch">Sheet1!$B$1618</definedName>
    <definedName name="qqdj">Sheet1!$B$2007</definedName>
    <definedName name="qqdw">Sheet1!$B$2220</definedName>
    <definedName name="qqht">Sheet1!$B$1555</definedName>
    <definedName name="qqjr">Sheet1!$B$2648</definedName>
    <definedName name="qqlq">Sheet1!$B$2485</definedName>
    <definedName name="qqlr">Sheet1!$B$726</definedName>
    <definedName name="qqnl">Sheet1!$B$1456</definedName>
    <definedName name="qqqp">Sheet1!$B$1850</definedName>
    <definedName name="qqtc">Sheet1!$B$2324</definedName>
    <definedName name="qqwg">Sheet1!$B$1127</definedName>
    <definedName name="qrcf">Sheet1!$B$1197</definedName>
    <definedName name="qrdc">Sheet1!$B$2096</definedName>
    <definedName name="qrgh">Sheet1!$B$1445</definedName>
    <definedName name="qrgw">Sheet1!$B$1114</definedName>
    <definedName name="qrhf">Sheet1!$B$2297</definedName>
    <definedName name="qrhv">Sheet1!$B$1985</definedName>
    <definedName name="qrrv">Sheet1!$B$836</definedName>
    <definedName name="qrvv">Sheet1!$B$2366</definedName>
    <definedName name="qrwj">Sheet1!$B$1027</definedName>
    <definedName name="qsfb">Sheet1!$B$985</definedName>
    <definedName name="qsfj">Sheet1!$B$913</definedName>
    <definedName name="qsgb">Sheet1!$B$565</definedName>
    <definedName name="qsgv">Sheet1!$B$75</definedName>
    <definedName name="qshd">Sheet1!$B$2574</definedName>
    <definedName name="qsjc">Sheet1!$B$1109</definedName>
    <definedName name="qsjh">Sheet1!$B$1737</definedName>
    <definedName name="qspl">Sheet1!$B$1260</definedName>
    <definedName name="qsrf">Sheet1!$B$1777</definedName>
    <definedName name="qsrh">Sheet1!$B$722</definedName>
    <definedName name="qstn">Sheet1!$B$2659</definedName>
    <definedName name="qtrb">Sheet1!$B$514</definedName>
    <definedName name="qtwd">Sheet1!$B$363</definedName>
    <definedName name="qtwt">Sheet1!$B$764</definedName>
    <definedName name="qvbm">Sheet1!$B$2684</definedName>
    <definedName name="qvgc">Sheet1!$B$16</definedName>
    <definedName name="qvmg">Sheet1!$B$2348</definedName>
    <definedName name="qvph">Sheet1!$B$902</definedName>
    <definedName name="qvql">Sheet1!$B$2469</definedName>
    <definedName name="qvqq">Sheet1!$B$1329</definedName>
    <definedName name="qvqt">Sheet1!$B$2619</definedName>
    <definedName name="qvsc">Sheet1!$B$967</definedName>
    <definedName name="qvvn">Sheet1!$B$885</definedName>
    <definedName name="qvzf">Sheet1!$B$770</definedName>
    <definedName name="qwfc">Sheet1!$B$863</definedName>
    <definedName name="qwjc">Sheet1!$B$1483</definedName>
    <definedName name="qwjl">Sheet1!$B$2365</definedName>
    <definedName name="qwjp">Sheet1!$B$1745</definedName>
    <definedName name="qwns">Sheet1!$B$1647</definedName>
    <definedName name="qwpb">Sheet1!$B$2506</definedName>
    <definedName name="qwpg">Sheet1!$B$1932</definedName>
    <definedName name="qwqw">Sheet1!$B$108</definedName>
    <definedName name="qwvl">Sheet1!$B$1122</definedName>
    <definedName name="qwwl">Sheet1!$B$2378</definedName>
    <definedName name="qzcq">Sheet1!$B$1206</definedName>
    <definedName name="qzdf">Sheet1!$B$1756</definedName>
    <definedName name="qzgh">Sheet1!$B$1021</definedName>
    <definedName name="qzgr">Sheet1!$B$2609</definedName>
    <definedName name="qzmd">Sheet1!$B$2631</definedName>
    <definedName name="qzmv">Sheet1!$B$1467</definedName>
    <definedName name="qznj">Sheet1!$B$414</definedName>
    <definedName name="qzqz">Sheet1!$B$1263</definedName>
    <definedName name="qzrj">Sheet1!$B$765</definedName>
    <definedName name="rbmm">Sheet1!$B$208</definedName>
    <definedName name="rbnd">Sheet1!$B$566</definedName>
    <definedName name="rbrw">Sheet1!$B$802</definedName>
    <definedName name="rbtt">Sheet1!$B$1957</definedName>
    <definedName name="rbvm">Sheet1!$B$316</definedName>
    <definedName name="rbzj">Sheet1!$B$1369</definedName>
    <definedName name="rcdh">Sheet1!$B$2229</definedName>
    <definedName name="rcgh">Sheet1!$B$507</definedName>
    <definedName name="rchv">Sheet1!$B$509</definedName>
    <definedName name="rcpw">Sheet1!$B$1478</definedName>
    <definedName name="rcqf">Sheet1!$B$279</definedName>
    <definedName name="rcrv">Sheet1!$B$993</definedName>
    <definedName name="rczm">Sheet1!$B$541</definedName>
    <definedName name="rdcj">Sheet1!$B$1441</definedName>
    <definedName name="rdgb">Sheet1!$B$400</definedName>
    <definedName name="rdjj">Sheet1!$B$2580</definedName>
    <definedName name="rdmc">Sheet1!$B$51</definedName>
    <definedName name="rdmt">Sheet1!$B$394</definedName>
    <definedName name="rdnw">Sheet1!$B$1960</definedName>
    <definedName name="rdpp">Sheet1!$B$2299</definedName>
    <definedName name="rdpq">Sheet1!$B$387</definedName>
    <definedName name="rdqg">Sheet1!$B$1811</definedName>
    <definedName name="rdqs">Sheet1!$B$576</definedName>
    <definedName name="rdrs">Sheet1!$B$1692</definedName>
    <definedName name="rdsl">Sheet1!$B$9</definedName>
    <definedName name="rdzb">Sheet1!$B$946</definedName>
    <definedName name="rfbj">Sheet1!$B$2360</definedName>
    <definedName name="rfcp">Sheet1!$B$1754</definedName>
    <definedName name="rfcv">Sheet1!$B$1431</definedName>
    <definedName name="rfcz">Sheet1!$B$1992</definedName>
    <definedName name="rfdf">Sheet1!$B$1371</definedName>
    <definedName name="rfmb">Sheet1!$B$1401</definedName>
    <definedName name="rfmq">Sheet1!$B$386</definedName>
    <definedName name="rfmr">Sheet1!$B$167</definedName>
    <definedName name="rfrm">Sheet1!$B$1548</definedName>
    <definedName name="rftp">Sheet1!$B$893</definedName>
    <definedName name="rfwn">Sheet1!$B$575</definedName>
    <definedName name="rfwp">Sheet1!$B$731</definedName>
    <definedName name="rghb">Sheet1!$B$1485</definedName>
    <definedName name="rght">Sheet1!$B$2195</definedName>
    <definedName name="rgjt">Sheet1!$B$85</definedName>
    <definedName name="rgqh">Sheet1!$B$1532</definedName>
    <definedName name="rgtd">Sheet1!$B$235</definedName>
    <definedName name="rhbs">Sheet1!$B$589</definedName>
    <definedName name="rhcs">Sheet1!$B$797</definedName>
    <definedName name="rhds">Sheet1!$B$628</definedName>
    <definedName name="rhgq">Sheet1!$B$127</definedName>
    <definedName name="rhnf">Sheet1!$B$1598</definedName>
    <definedName name="rhnv">Sheet1!$B$2661</definedName>
    <definedName name="rhvj">Sheet1!$B$2428</definedName>
    <definedName name="rhzn">Sheet1!$B$1574</definedName>
    <definedName name="rjhl">Sheet1!$B$281</definedName>
    <definedName name="rjhw">Sheet1!$B$2398</definedName>
    <definedName name="rjld">Sheet1!$B$839</definedName>
    <definedName name="rjwd">Sheet1!$B$384</definedName>
    <definedName name="rjwv">Sheet1!$B$821</definedName>
    <definedName name="rlds">Sheet1!$B$2067</definedName>
    <definedName name="rlhc">Sheet1!$B$1198</definedName>
    <definedName name="rljl">Sheet1!$B$1949</definedName>
    <definedName name="rljp">Sheet1!$B$304</definedName>
    <definedName name="rllb">Sheet1!$B$366</definedName>
    <definedName name="rlrv">Sheet1!$B$2169</definedName>
    <definedName name="rlzn">Sheet1!$B$1630</definedName>
    <definedName name="rmfd">Sheet1!$B$1235</definedName>
    <definedName name="rmfr">Sheet1!$B$2627</definedName>
    <definedName name="rmfw">Sheet1!$B$96</definedName>
    <definedName name="rmgn">Sheet1!$B$560</definedName>
    <definedName name="rmhj">Sheet1!$B$36</definedName>
    <definedName name="rmjw">Sheet1!$B$1642</definedName>
    <definedName name="rmrr">Sheet1!$B$2132</definedName>
    <definedName name="rmvz">Sheet1!$B$568</definedName>
    <definedName name="rmwz">Sheet1!$B$2503</definedName>
    <definedName name="rnhr">Sheet1!$B$439</definedName>
    <definedName name="rnlj">Sheet1!$B$1199</definedName>
    <definedName name="rnnm">Sheet1!$B$217</definedName>
    <definedName name="rnnq">Sheet1!$B$86</definedName>
    <definedName name="rnpf">Sheet1!$B$2487</definedName>
    <definedName name="rnqh">Sheet1!$B$1820</definedName>
    <definedName name="rnqw">Sheet1!$B$742</definedName>
    <definedName name="rnrz">Sheet1!$B$1315</definedName>
    <definedName name="rnsd">Sheet1!$B$1554</definedName>
    <definedName name="root">Sheet1!$B$574</definedName>
    <definedName name="rpbl">Sheet1!$B$1984</definedName>
    <definedName name="rpcb">Sheet1!$B$2373</definedName>
    <definedName name="rpcj">Sheet1!$B$72</definedName>
    <definedName name="rpdf">Sheet1!$B$195</definedName>
    <definedName name="rphp">Sheet1!$B$1620</definedName>
    <definedName name="rpln">Sheet1!$B$1447</definedName>
    <definedName name="rppz">Sheet1!$B$2555</definedName>
    <definedName name="rpql">Sheet1!$B$1998</definedName>
    <definedName name="rprh">Sheet1!$B$199</definedName>
    <definedName name="rpsc">Sheet1!$B$538</definedName>
    <definedName name="rqgq">Sheet1!$B$2247</definedName>
    <definedName name="rqmw">Sheet1!$B$675</definedName>
    <definedName name="rqzq">Sheet1!$B$1627</definedName>
    <definedName name="rrdq">Sheet1!$B$1285</definedName>
    <definedName name="rrsb">Sheet1!$B$856</definedName>
    <definedName name="rrtr">Sheet1!$B$457</definedName>
    <definedName name="rrvl">Sheet1!$B$2438</definedName>
    <definedName name="rshj">Sheet1!$B$1659</definedName>
    <definedName name="rsjw">Sheet1!$B$581</definedName>
    <definedName name="rssf">Sheet1!$B$2655</definedName>
    <definedName name="rswm">Sheet1!$B$2592</definedName>
    <definedName name="rszd">Sheet1!$B$539</definedName>
    <definedName name="rtmt">Sheet1!$B$1832</definedName>
    <definedName name="rtrc">Sheet1!$B$766</definedName>
    <definedName name="rtvg">Sheet1!$B$431</definedName>
    <definedName name="rvbn">Sheet1!$B$2304</definedName>
    <definedName name="rvfp">Sheet1!$B$282</definedName>
    <definedName name="rvfr">Sheet1!$B$1035</definedName>
    <definedName name="rvlm">Sheet1!$B$38</definedName>
    <definedName name="rvnc">Sheet1!$B$1725</definedName>
    <definedName name="rvqw">Sheet1!$B$1003</definedName>
    <definedName name="rvrp">Sheet1!$B$165</definedName>
    <definedName name="rvsv">Sheet1!$B$310</definedName>
    <definedName name="rwfc">Sheet1!$B$481</definedName>
    <definedName name="rwgf">Sheet1!$B$1912</definedName>
    <definedName name="rwlb">Sheet1!$B$482</definedName>
    <definedName name="rwqb">Sheet1!$B$1810</definedName>
    <definedName name="rwqr">Sheet1!$B$583</definedName>
    <definedName name="rwqw">Sheet1!$B$577</definedName>
    <definedName name="rwwc">Sheet1!$B$2703</definedName>
    <definedName name="rwwf">Sheet1!$B$1093</definedName>
    <definedName name="rzfd">Sheet1!$B$172</definedName>
    <definedName name="rzfz">Sheet1!$B$2345</definedName>
    <definedName name="rzmd">Sheet1!$B$1944</definedName>
    <definedName name="rznv">Sheet1!$B$1251</definedName>
    <definedName name="rzvt">Sheet1!$B$403</definedName>
    <definedName name="rzwz">Sheet1!$B$22</definedName>
    <definedName name="rzzf">Sheet1!$B$1370</definedName>
    <definedName name="sbcl">Sheet1!$B$222</definedName>
    <definedName name="sbdb">Sheet1!$B$2679</definedName>
    <definedName name="sbfb">Sheet1!$B$2617</definedName>
    <definedName name="sbfh">Sheet1!$B$1079</definedName>
    <definedName name="sbjp">Sheet1!$B$776</definedName>
    <definedName name="sbjz">Sheet1!$B$2441</definedName>
    <definedName name="sblg">Sheet1!$B$598</definedName>
    <definedName name="sbll">Sheet1!$B$1323</definedName>
    <definedName name="sbqt">Sheet1!$B$338</definedName>
    <definedName name="sbvg">Sheet1!$B$811</definedName>
    <definedName name="sbwb">Sheet1!$B$53</definedName>
    <definedName name="scbt">Sheet1!$B$1436</definedName>
    <definedName name="sctg">Sheet1!$B$724</definedName>
    <definedName name="scwd">Sheet1!$B$1359</definedName>
    <definedName name="sdcr">Sheet1!$B$201</definedName>
    <definedName name="sdjd">Sheet1!$B$906</definedName>
    <definedName name="sdmp">Sheet1!$B$921</definedName>
    <definedName name="sdpr">Sheet1!$B$2060</definedName>
    <definedName name="sdqd">Sheet1!$B$849</definedName>
    <definedName name="sdvv">Sheet1!$B$1055</definedName>
    <definedName name="sdwr">Sheet1!$B$1796</definedName>
    <definedName name="sflq">Sheet1!$B$225</definedName>
    <definedName name="sfrm">Sheet1!$B$564</definedName>
    <definedName name="sfvg">Sheet1!$B$323</definedName>
    <definedName name="sfwz">Sheet1!$B$2327</definedName>
    <definedName name="sgcb">Sheet1!$B$2256</definedName>
    <definedName name="sgcv">Sheet1!$B$234</definedName>
    <definedName name="sgdd">Sheet1!$B$706</definedName>
    <definedName name="sglm">Sheet1!$B$2145</definedName>
    <definedName name="sgns">Sheet1!$B$2121</definedName>
    <definedName name="sgst">Sheet1!$B$1623</definedName>
    <definedName name="shcz">Sheet1!$B$1264</definedName>
    <definedName name="shnm">Sheet1!$B$2209</definedName>
    <definedName name="shpg">Sheet1!$B$835</definedName>
    <definedName name="shvv">Sheet1!$B$663</definedName>
    <definedName name="sjcb">Sheet1!$B$1682</definedName>
    <definedName name="sjch">Sheet1!$B$119</definedName>
    <definedName name="sjcj">Sheet1!$B$2296</definedName>
    <definedName name="sjdl">Sheet1!$B$2141</definedName>
    <definedName name="sjfb">Sheet1!$B$2349</definedName>
    <definedName name="sjgh">Sheet1!$B$2636</definedName>
    <definedName name="sjgn">Sheet1!$B$1781</definedName>
    <definedName name="sjht">Sheet1!$B$2614</definedName>
    <definedName name="sjmn">Sheet1!$B$10</definedName>
    <definedName name="sjqr">Sheet1!$B$1685</definedName>
    <definedName name="sjrj">Sheet1!$B$1001</definedName>
    <definedName name="sjvt">Sheet1!$B$2085</definedName>
    <definedName name="sjwp">Sheet1!$B$1650</definedName>
    <definedName name="sjwq">Sheet1!$B$2623</definedName>
    <definedName name="slcg">Sheet1!$B$785</definedName>
    <definedName name="slhd">Sheet1!$B$2463</definedName>
    <definedName name="slhm">Sheet1!$B$1341</definedName>
    <definedName name="sljl">Sheet1!$B$703</definedName>
    <definedName name="sllz">Sheet1!$B$11</definedName>
    <definedName name="slmh">Sheet1!$B$2246</definedName>
    <definedName name="slmn">Sheet1!$B$1656</definedName>
    <definedName name="slqs">Sheet1!$B$449</definedName>
    <definedName name="smbd">Sheet1!$B$129</definedName>
    <definedName name="smbr">Sheet1!$B$24</definedName>
    <definedName name="smjj">Sheet1!$B$767</definedName>
    <definedName name="smlh">Sheet1!$B$1433</definedName>
    <definedName name="smnp">Sheet1!$B$1793</definedName>
    <definedName name="smpc">Sheet1!$B$1862</definedName>
    <definedName name="smqr">Sheet1!$B$1381</definedName>
    <definedName name="smvj">Sheet1!$B$1052</definedName>
    <definedName name="smvw">Sheet1!$B$741</definedName>
    <definedName name="snbt">Sheet1!$B$864</definedName>
    <definedName name="sndc">Sheet1!$B$2701</definedName>
    <definedName name="snfh">Sheet1!$B$2152</definedName>
    <definedName name="snjr">Sheet1!$B$2000</definedName>
    <definedName name="snlv">Sheet1!$B$271</definedName>
    <definedName name="snng">Sheet1!$B$1973</definedName>
    <definedName name="snsc">Sheet1!$B$495</definedName>
    <definedName name="sntt">Sheet1!$B$1475</definedName>
    <definedName name="snwb">Sheet1!$B$194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Sheet1!$S$1406</definedName>
    <definedName name="solver_typ" localSheetId="0" hidden="1">1</definedName>
    <definedName name="solver_val" localSheetId="0" hidden="1">0</definedName>
    <definedName name="solver_ver" localSheetId="0" hidden="1">2</definedName>
    <definedName name="spbn">Sheet1!$B$2182</definedName>
    <definedName name="spnp">Sheet1!$B$1466</definedName>
    <definedName name="sppm">Sheet1!$B$1287</definedName>
    <definedName name="sqcc">Sheet1!$B$1983</definedName>
    <definedName name="sqff">Sheet1!$B$1590</definedName>
    <definedName name="sqjj">Sheet1!$B$860</definedName>
    <definedName name="sqjl">Sheet1!$B$2567</definedName>
    <definedName name="sqnb">Sheet1!$B$2083</definedName>
    <definedName name="sqpd">Sheet1!$B$829</definedName>
    <definedName name="sqrv">Sheet1!$B$715</definedName>
    <definedName name="sqsc">Sheet1!$B$144</definedName>
    <definedName name="srbj">Sheet1!$B$845</definedName>
    <definedName name="srmg">Sheet1!$B$1161</definedName>
    <definedName name="srnv">Sheet1!$B$1496</definedName>
    <definedName name="srsl">Sheet1!$B$2418</definedName>
    <definedName name="srtj">Sheet1!$B$1215</definedName>
    <definedName name="srvg">Sheet1!$B$1808</definedName>
    <definedName name="ssbm">Sheet1!$B$1925</definedName>
    <definedName name="ssbp">Sheet1!$B$2387</definedName>
    <definedName name="sscm">Sheet1!$B$1474</definedName>
    <definedName name="ssng">Sheet1!$B$1446</definedName>
    <definedName name="ssnq">Sheet1!$B$2538</definedName>
    <definedName name="ssph">Sheet1!$B$1489</definedName>
    <definedName name="ssqc">Sheet1!$B$1809</definedName>
    <definedName name="sstq">Sheet1!$B$1596</definedName>
    <definedName name="ssvr">Sheet1!$B$1236</definedName>
    <definedName name="sswb">Sheet1!$B$2259</definedName>
    <definedName name="sszs">Sheet1!$B$230</definedName>
    <definedName name="stbv">Sheet1!$B$834</definedName>
    <definedName name="stcd">Sheet1!$B$523</definedName>
    <definedName name="stcj">Sheet1!$B$1388</definedName>
    <definedName name="stcw">Sheet1!$B$2048</definedName>
    <definedName name="stfm">Sheet1!$B$2350</definedName>
    <definedName name="stfs">Sheet1!$B$1490</definedName>
    <definedName name="stls">Sheet1!$B$149</definedName>
    <definedName name="stnh">Sheet1!$B$2434</definedName>
    <definedName name="stpv">Sheet1!$B$1212</definedName>
    <definedName name="stsc">Sheet1!$B$1232</definedName>
    <definedName name="stvc">Sheet1!$B$2249</definedName>
    <definedName name="svdd">Sheet1!$B$609</definedName>
    <definedName name="svfq">Sheet1!$B$1673</definedName>
    <definedName name="svln">Sheet1!$B$1738</definedName>
    <definedName name="svmn">Sheet1!$B$1258</definedName>
    <definedName name="svng">Sheet1!$B$2311</definedName>
    <definedName name="svnj">Sheet1!$B$293</definedName>
    <definedName name="svpw">Sheet1!$B$2364</definedName>
    <definedName name="svvl">Sheet1!$B$2312</definedName>
    <definedName name="svww">Sheet1!$B$1740</definedName>
    <definedName name="svzj">Sheet1!$B$2381</definedName>
    <definedName name="swcn">Sheet1!$B$223</definedName>
    <definedName name="swcp">Sheet1!$B$410</definedName>
    <definedName name="swjc">Sheet1!$B$69</definedName>
    <definedName name="swng">Sheet1!$B$1032</definedName>
    <definedName name="swpr">Sheet1!$B$2480</definedName>
    <definedName name="swqf">Sheet1!$B$2628</definedName>
    <definedName name="swth">Sheet1!$B$151</definedName>
    <definedName name="swtj">Sheet1!$B$1999</definedName>
    <definedName name="swzl">Sheet1!$B$2298</definedName>
    <definedName name="swzm">Sheet1!$B$30</definedName>
    <definedName name="szdf">Sheet1!$B$547</definedName>
    <definedName name="szgd">Sheet1!$B$1586</definedName>
    <definedName name="szgs">Sheet1!$B$1105</definedName>
    <definedName name="szgv">Sheet1!$B$277</definedName>
    <definedName name="szll">Sheet1!$B$2571</definedName>
    <definedName name="szlw">Sheet1!$B$1057</definedName>
    <definedName name="szsh">Sheet1!$B$1231</definedName>
    <definedName name="szsj">Sheet1!$B$750</definedName>
    <definedName name="sztw">Sheet1!$B$2604</definedName>
    <definedName name="szvt">Sheet1!$B$745</definedName>
    <definedName name="szvz">Sheet1!$B$1604</definedName>
    <definedName name="szwd">Sheet1!$B$245</definedName>
    <definedName name="szwz">Sheet1!$B$923</definedName>
    <definedName name="tbdp">Sheet1!$B$1125</definedName>
    <definedName name="tbhd">Sheet1!$B$713</definedName>
    <definedName name="tbhv">Sheet1!$B$1879</definedName>
    <definedName name="tblp">Sheet1!$B$1137</definedName>
    <definedName name="tbmd">Sheet1!$B$1424</definedName>
    <definedName name="tbmr">Sheet1!$B$2440</definedName>
    <definedName name="tbpn">Sheet1!$B$1819</definedName>
    <definedName name="tbqg">Sheet1!$B$2241</definedName>
    <definedName name="tbqm">Sheet1!$B$2412</definedName>
    <definedName name="tbrs">Sheet1!$B$2610</definedName>
    <definedName name="tbrw">Sheet1!$B$1503</definedName>
    <definedName name="tbwd">Sheet1!$B$440</definedName>
    <definedName name="tbwj">Sheet1!$B$445</definedName>
    <definedName name="tbwn">Sheet1!$B$825</definedName>
    <definedName name="tchh">Sheet1!$B$1450</definedName>
    <definedName name="tchr">Sheet1!$B$2490</definedName>
    <definedName name="tcpf">Sheet1!$B$2308</definedName>
    <definedName name="tcqs">Sheet1!$B$1567</definedName>
    <definedName name="tcrr">Sheet1!$B$1837</definedName>
    <definedName name="tdbn">Sheet1!$B$1839</definedName>
    <definedName name="tdcc">Sheet1!$B$2262</definedName>
    <definedName name="tdgl">Sheet1!$B$2334</definedName>
    <definedName name="tdhr">Sheet1!$B$156</definedName>
    <definedName name="tdlv">Sheet1!$B$1980</definedName>
    <definedName name="tdnb">Sheet1!$B$61</definedName>
    <definedName name="tdpd">Sheet1!$B$501</definedName>
    <definedName name="tdqc">Sheet1!$B$1551</definedName>
    <definedName name="tdqn">Sheet1!$B$120</definedName>
    <definedName name="tdvg">Sheet1!$B$239</definedName>
    <definedName name="tfcr">Sheet1!$B$1262</definedName>
    <definedName name="tfdm">Sheet1!$B$704</definedName>
    <definedName name="tfdv">Sheet1!$B$1735</definedName>
    <definedName name="tffd">Sheet1!$B$405</definedName>
    <definedName name="tflj">Sheet1!$B$2507</definedName>
    <definedName name="tflw">Sheet1!$B$633</definedName>
    <definedName name="tfml">Sheet1!$B$2003</definedName>
    <definedName name="tfpc">Sheet1!$B$1037</definedName>
    <definedName name="tfpm">Sheet1!$B$2212</definedName>
    <definedName name="tfrq">Sheet1!$B$1524</definedName>
    <definedName name="tfsd">Sheet1!$B$454</definedName>
    <definedName name="tfsn">Sheet1!$B$2240</definedName>
    <definedName name="tfvn">Sheet1!$B$14</definedName>
    <definedName name="tfwm">Sheet1!$B$101</definedName>
    <definedName name="tgcc">Sheet1!$B$491</definedName>
    <definedName name="tgcd">Sheet1!$B$2635</definedName>
    <definedName name="tgch">Sheet1!$B$117</definedName>
    <definedName name="tgdq">Sheet1!$B$2396</definedName>
    <definedName name="tgfs">Sheet1!$B$315</definedName>
    <definedName name="tgfz">Sheet1!$B$2491</definedName>
    <definedName name="tgjj">Sheet1!$B$2524</definedName>
    <definedName name="tgrf">Sheet1!$B$556</definedName>
    <definedName name="tgsc">Sheet1!$B$1426</definedName>
    <definedName name="tgsp">Sheet1!$B$1640</definedName>
    <definedName name="tgtn">Sheet1!$B$1823</definedName>
    <definedName name="tgts">Sheet1!$B$1942</definedName>
    <definedName name="tgvf">Sheet1!$B$1156</definedName>
    <definedName name="tgvg">Sheet1!$B$2591</definedName>
    <definedName name="tgwh">Sheet1!$B$1655</definedName>
    <definedName name="thcj">Sheet1!$B$701</definedName>
    <definedName name="thjb">Sheet1!$B$2114</definedName>
    <definedName name="thjn">Sheet1!$B$1615</definedName>
    <definedName name="thnb">Sheet1!$B$786</definedName>
    <definedName name="thqs">Sheet1!$B$1309</definedName>
    <definedName name="thrm">Sheet1!$B$276</definedName>
    <definedName name="thth">Sheet1!$B$1002</definedName>
    <definedName name="tjbl">Sheet1!$B$2040</definedName>
    <definedName name="tjcm">Sheet1!$B$114</definedName>
    <definedName name="tjcr">Sheet1!$B$948</definedName>
    <definedName name="tjgn">Sheet1!$B$2122</definedName>
    <definedName name="tjhw">Sheet1!$B$621</definedName>
    <definedName name="tjmg">Sheet1!$B$242</definedName>
    <definedName name="tjpj">Sheet1!$B$2526</definedName>
    <definedName name="tjzp">Sheet1!$B$648</definedName>
    <definedName name="tlbn">Sheet1!$B$404</definedName>
    <definedName name="tldj">Sheet1!$B$1946</definedName>
    <definedName name="tlfp">Sheet1!$B$432</definedName>
    <definedName name="tlgz">Sheet1!$B$1522</definedName>
    <definedName name="tlnz">Sheet1!$B$992</definedName>
    <definedName name="tlqm">Sheet1!$B$34</definedName>
    <definedName name="tlsr">Sheet1!$B$308</definedName>
    <definedName name="tltn">Sheet1!$B$1428</definedName>
    <definedName name="tlwm">Sheet1!$B$2233</definedName>
    <definedName name="tmcp">Sheet1!$B$1026</definedName>
    <definedName name="tmfb">Sheet1!$B$807</definedName>
    <definedName name="tmgq">Sheet1!$B$1872</definedName>
    <definedName name="tmhf">Sheet1!$B$2606</definedName>
    <definedName name="tmhj">Sheet1!$B$1589</definedName>
    <definedName name="tmhr">Sheet1!$B$273</definedName>
    <definedName name="tmjs">Sheet1!$B$2321</definedName>
    <definedName name="tmjv">Sheet1!$B$1859</definedName>
    <definedName name="tmmf">Sheet1!$B$499</definedName>
    <definedName name="tmpv">Sheet1!$B$299</definedName>
    <definedName name="tmqj">Sheet1!$B$2336</definedName>
    <definedName name="tmrv">Sheet1!$B$2552</definedName>
    <definedName name="tmsh">Sheet1!$B$1222</definedName>
    <definedName name="tmzd">Sheet1!$B$1817</definedName>
    <definedName name="tncl">Sheet1!$B$1170</definedName>
    <definedName name="tndn">Sheet1!$B$2166</definedName>
    <definedName name="tnhm">Sheet1!$B$155</definedName>
    <definedName name="tnmv">Sheet1!$B$229</definedName>
    <definedName name="tnmz">Sheet1!$B$82</definedName>
    <definedName name="tnqp">Sheet1!$B$1477</definedName>
    <definedName name="tnrd">Sheet1!$B$2493</definedName>
    <definedName name="tnvn">Sheet1!$B$1982</definedName>
    <definedName name="tpbt">Sheet1!$B$1337</definedName>
    <definedName name="tpbw">Sheet1!$B$660</definedName>
    <definedName name="tpgs">Sheet1!$B$2479</definedName>
    <definedName name="tpgv">Sheet1!$B$479</definedName>
    <definedName name="tpmz">Sheet1!$B$52</definedName>
    <definedName name="tppz">Sheet1!$B$1111</definedName>
    <definedName name="tprf">Sheet1!$B$391</definedName>
    <definedName name="tptq">Sheet1!$B$1798</definedName>
    <definedName name="tpwm">Sheet1!$B$2273</definedName>
    <definedName name="tqdc">Sheet1!$B$1028</definedName>
    <definedName name="tqft">Sheet1!$B$1806</definedName>
    <definedName name="tqnb">Sheet1!$B$2006</definedName>
    <definedName name="tqql">Sheet1!$B$2201</definedName>
    <definedName name="tqrg">Sheet1!$B$2105</definedName>
    <definedName name="tqsm">Sheet1!$B$2087</definedName>
    <definedName name="tqtg">Sheet1!$B$901</definedName>
    <definedName name="tqwl">Sheet1!$B$244</definedName>
    <definedName name="trbp">Sheet1!$B$1331</definedName>
    <definedName name="trcd">Sheet1!$B$399</definedName>
    <definedName name="trcg">Sheet1!$B$168</definedName>
    <definedName name="trfc">Sheet1!$B$511</definedName>
    <definedName name="trlw">Sheet1!$B$2338</definedName>
    <definedName name="trml">Sheet1!$B$653</definedName>
    <definedName name="trmz">Sheet1!$B$1913</definedName>
    <definedName name="trrt">Sheet1!$B$2231</definedName>
    <definedName name="trzp">Sheet1!$B$161</definedName>
    <definedName name="trzt">Sheet1!$B$1106</definedName>
    <definedName name="tscm">Sheet1!$B$2498</definedName>
    <definedName name="tsdg">Sheet1!$B$1276</definedName>
    <definedName name="tsfz">Sheet1!$B$1684</definedName>
    <definedName name="tsjb">Sheet1!$B$1268</definedName>
    <definedName name="tsjz">Sheet1!$B$1959</definedName>
    <definedName name="tslc">Sheet1!$B$578</definedName>
    <definedName name="tsmb">Sheet1!$B$1204</definedName>
    <definedName name="tsnv">Sheet1!$B$111</definedName>
    <definedName name="tssr">Sheet1!$B$925</definedName>
    <definedName name="tsvp">Sheet1!$B$846</definedName>
    <definedName name="tsvq">Sheet1!$B$193</definedName>
    <definedName name="tsvz">Sheet1!$B$1749</definedName>
    <definedName name="tszl">Sheet1!$B$868</definedName>
    <definedName name="ttbb">Sheet1!$B$1858</definedName>
    <definedName name="ttcq">Sheet1!$B$1841</definedName>
    <definedName name="ttcs">Sheet1!$B$2372</definedName>
    <definedName name="ttff">Sheet1!$B$1558</definedName>
    <definedName name="ttlg">Sheet1!$B$2358</definedName>
    <definedName name="ttrc">Sheet1!$B$559</definedName>
    <definedName name="ttsh">Sheet1!$B$1019</definedName>
    <definedName name="tttq">Sheet1!$B$1239</definedName>
    <definedName name="ttzn">Sheet1!$B$1493</definedName>
    <definedName name="tvdc">Sheet1!$B$2168</definedName>
    <definedName name="tvlz">Sheet1!$B$708</definedName>
    <definedName name="tvmj">Sheet1!$B$2130</definedName>
    <definedName name="tvnp">Sheet1!$B$1701</definedName>
    <definedName name="tvrh">Sheet1!$B$558</definedName>
    <definedName name="tvrj">Sheet1!$B$1495</definedName>
    <definedName name="twbf">Sheet1!$B$2649</definedName>
    <definedName name="twcm">Sheet1!$B$699</definedName>
    <definedName name="twjf">Sheet1!$B$2421</definedName>
    <definedName name="twmw">Sheet1!$B$2156</definedName>
    <definedName name="twnp">Sheet1!$B$327</definedName>
    <definedName name="twpb">Sheet1!$B$1165</definedName>
    <definedName name="twql">Sheet1!$B$2664</definedName>
    <definedName name="twqw">Sheet1!$B$1691</definedName>
    <definedName name="twrb">Sheet1!$B$1087</definedName>
    <definedName name="twsc">Sheet1!$B$929</definedName>
    <definedName name="twtg">Sheet1!$B$2028</definedName>
    <definedName name="twzm">Sheet1!$B$1530</definedName>
    <definedName name="twzs">Sheet1!$B$595</definedName>
    <definedName name="tzcn">Sheet1!$B$2307</definedName>
    <definedName name="tzdq">Sheet1!$B$1133</definedName>
    <definedName name="tzft">Sheet1!$B$2095</definedName>
    <definedName name="tzgl">Sheet1!$B$2187</definedName>
    <definedName name="tzmm">Sheet1!$B$139</definedName>
    <definedName name="tznf">Sheet1!$B$100</definedName>
    <definedName name="tzpw">Sheet1!$B$2207</definedName>
    <definedName name="tzsp">Sheet1!$B$1977</definedName>
    <definedName name="tztr">Sheet1!$B$1648</definedName>
    <definedName name="tzwm">Sheet1!$B$1645</definedName>
    <definedName name="vbbl">Sheet1!$B$940</definedName>
    <definedName name="vbbn">Sheet1!$B$1600</definedName>
    <definedName name="vbdd">Sheet1!$B$1126</definedName>
    <definedName name="vbht">Sheet1!$B$1790</definedName>
    <definedName name="vblr">Sheet1!$B$162</definedName>
    <definedName name="vbmg">Sheet1!$B$435</definedName>
    <definedName name="vbqp">Sheet1!$B$390</definedName>
    <definedName name="vbsv">Sheet1!$B$1074</definedName>
    <definedName name="vbth">Sheet1!$B$1326</definedName>
    <definedName name="vbvf">Sheet1!$B$830</definedName>
    <definedName name="vbwd">Sheet1!$B$2465</definedName>
    <definedName name="vbwq">Sheet1!$B$615</definedName>
    <definedName name="vcbn">Sheet1!$B$1954</definedName>
    <definedName name="vcfh">Sheet1!$B$29</definedName>
    <definedName name="vcgm">Sheet1!$B$2213</definedName>
    <definedName name="vcst">Sheet1!$B$2129</definedName>
    <definedName name="vcvh">Sheet1!$B$870</definedName>
    <definedName name="vdbq">Sheet1!$B$1153</definedName>
    <definedName name="vdcd">Sheet1!$B$1723</definedName>
    <definedName name="vdcv">Sheet1!$B$1702</definedName>
    <definedName name="vddh">Sheet1!$B$1542</definedName>
    <definedName name="vdgf">Sheet1!$B$1175</definedName>
    <definedName name="vdmn">Sheet1!$B$371</definedName>
    <definedName name="vdpq">Sheet1!$B$2426</definedName>
    <definedName name="vdps">Sheet1!$B$2565</definedName>
    <definedName name="vdtj">Sheet1!$B$1964</definedName>
    <definedName name="vdwr">Sheet1!$B$695</definedName>
    <definedName name="vfbb">Sheet1!$B$2629</definedName>
    <definedName name="vfmb">Sheet1!$B$1601</definedName>
    <definedName name="vfmv">Sheet1!$B$231</definedName>
    <definedName name="vfrn">Sheet1!$B$502</definedName>
    <definedName name="vfrz">Sheet1!$B$301</definedName>
    <definedName name="vftj">Sheet1!$B$2397</definedName>
    <definedName name="vftv">Sheet1!$B$1134</definedName>
    <definedName name="vfzt">Sheet1!$B$2607</definedName>
    <definedName name="vgbd">Sheet1!$B$2448</definedName>
    <definedName name="vggh">Sheet1!$B$652</definedName>
    <definedName name="vgqr">Sheet1!$B$2645</definedName>
    <definedName name="vgsf">Sheet1!$B$1911</definedName>
    <definedName name="vgzr">Sheet1!$B$196</definedName>
    <definedName name="vhbl">Sheet1!$B$1071</definedName>
    <definedName name="vhdh">Sheet1!$B$2466</definedName>
    <definedName name="vhfh">Sheet1!$B$26</definedName>
    <definedName name="vhgh">Sheet1!$B$2603</definedName>
    <definedName name="vhjv">Sheet1!$B$2363</definedName>
    <definedName name="vhns">Sheet1!$B$1029</definedName>
    <definedName name="vhqf">Sheet1!$B$2153</definedName>
    <definedName name="vhrc">Sheet1!$B$2301</definedName>
    <definedName name="vhth">Sheet1!$B$1835</definedName>
    <definedName name="vjmr">Sheet1!$B$375</definedName>
    <definedName name="vjph">Sheet1!$B$1210</definedName>
    <definedName name="vjqw">Sheet1!$B$190</definedName>
    <definedName name="vjrs">Sheet1!$B$537</definedName>
    <definedName name="vjss">Sheet1!$B$2193</definedName>
    <definedName name="vjvc">Sheet1!$B$645</definedName>
    <definedName name="vjvn">Sheet1!$B$1303</definedName>
    <definedName name="vjzr">Sheet1!$B$1651</definedName>
    <definedName name="vlft">Sheet1!$B$2184</definedName>
    <definedName name="vlgv">Sheet1!$B$1162</definedName>
    <definedName name="vljf">Sheet1!$B$869</definedName>
    <definedName name="vlqj">Sheet1!$B$1148</definedName>
    <definedName name="vlzm">Sheet1!$B$1910</definedName>
    <definedName name="vmhp">Sheet1!$B$1622</definedName>
    <definedName name="vmhr">Sheet1!$B$2090</definedName>
    <definedName name="vmjl">Sheet1!$B$1563</definedName>
    <definedName name="vmmw">Sheet1!$B$2411</definedName>
    <definedName name="vmqt">Sheet1!$B$1663</definedName>
    <definedName name="vmtd">Sheet1!$B$2390</definedName>
    <definedName name="vmwv">Sheet1!$B$850</definedName>
    <definedName name="vndh">Sheet1!$B$1298</definedName>
    <definedName name="vnhj">Sheet1!$B$1742</definedName>
    <definedName name="vnrr">Sheet1!$B$1654</definedName>
    <definedName name="vntl">Sheet1!$B$545</definedName>
    <definedName name="vntq">Sheet1!$B$2042</definedName>
    <definedName name="vnvw">Sheet1!$B$2533</definedName>
    <definedName name="vpcl">Sheet1!$B$376</definedName>
    <definedName name="vpcs">Sheet1!$B$1535</definedName>
    <definedName name="vpdv">Sheet1!$B$2697</definedName>
    <definedName name="vpjz">Sheet1!$B$1144</definedName>
    <definedName name="vplb">Sheet1!$B$1592</definedName>
    <definedName name="vpsr">Sheet1!$B$112</definedName>
    <definedName name="vqdb">Sheet1!$B$855</definedName>
    <definedName name="vqgm">Sheet1!$B$2113</definedName>
    <definedName name="vqjt">Sheet1!$B$2210</definedName>
    <definedName name="vqmc">Sheet1!$B$1449</definedName>
    <definedName name="vqwv">Sheet1!$B$215</definedName>
    <definedName name="vqzw">Sheet1!$B$2510</definedName>
    <definedName name="vrgz">Sheet1!$B$2310</definedName>
    <definedName name="vrjq">Sheet1!$B$1102</definedName>
    <definedName name="vrjr">Sheet1!$B$1594</definedName>
    <definedName name="vrlf">Sheet1!$B$1409</definedName>
    <definedName name="vrqb">Sheet1!$B$1382</definedName>
    <definedName name="vrqj">Sheet1!$B$658</definedName>
    <definedName name="vrtr">Sheet1!$B$737</definedName>
    <definedName name="vrvr">Sheet1!$B$2131</definedName>
    <definedName name="vrwm">Sheet1!$B$743</definedName>
    <definedName name="vscz">Sheet1!$B$1036</definedName>
    <definedName name="vshb">Sheet1!$B$2343</definedName>
    <definedName name="vsqt">Sheet1!$B$550</definedName>
    <definedName name="vstr">Sheet1!$B$1679</definedName>
    <definedName name="vszn">Sheet1!$B$1915</definedName>
    <definedName name="vtbg">Sheet1!$B$666</definedName>
    <definedName name="vtch">Sheet1!$B$2284</definedName>
    <definedName name="vthq">Sheet1!$B$407</definedName>
    <definedName name="vtmm">Sheet1!$B$861</definedName>
    <definedName name="vtqd">Sheet1!$B$592</definedName>
    <definedName name="vtzc">Sheet1!$B$1085</definedName>
    <definedName name="vvbq">Sheet1!$B$2696</definedName>
    <definedName name="vvgt">Sheet1!$B$392</definedName>
    <definedName name="vvhd">Sheet1!$B$2473</definedName>
    <definedName name="vvlm">Sheet1!$B$1470</definedName>
    <definedName name="vvmd">Sheet1!$B$1937</definedName>
    <definedName name="vvnh">Sheet1!$B$1624</definedName>
    <definedName name="vvpb">Sheet1!$B$2332</definedName>
    <definedName name="vvqq">Sheet1!$B$2012</definedName>
    <definedName name="vvsm">Sheet1!$B$752</definedName>
    <definedName name="vvwr">Sheet1!$B$97</definedName>
    <definedName name="vwcc">Sheet1!$B$169</definedName>
    <definedName name="vwcj">Sheet1!$B$597</definedName>
    <definedName name="vwdg">Sheet1!$B$1611</definedName>
    <definedName name="vwff">Sheet1!$B$2667</definedName>
    <definedName name="vwnc">Sheet1!$B$2230</definedName>
    <definedName name="vwnd">Sheet1!$B$2474</definedName>
    <definedName name="vwpc">Sheet1!$B$433</definedName>
    <definedName name="vwrt">Sheet1!$B$2245</definedName>
    <definedName name="vwvc">Sheet1!$B$2439</definedName>
    <definedName name="vzft">Sheet1!$B$1302</definedName>
    <definedName name="vzgl">Sheet1!$B$2077</definedName>
    <definedName name="vzhj">Sheet1!$B$2417</definedName>
    <definedName name="vzhl">Sheet1!$B$2033</definedName>
    <definedName name="vznw">Sheet1!$B$37</definedName>
    <definedName name="vztj">Sheet1!$B$2063</definedName>
    <definedName name="wbft">Sheet1!$B$192</definedName>
    <definedName name="wbqs">Sheet1!$B$1747</definedName>
    <definedName name="wbrr">Sheet1!$B$888</definedName>
    <definedName name="wbwf">Sheet1!$B$2293</definedName>
    <definedName name="wcbp">Sheet1!$B$907</definedName>
    <definedName name="wcbw">Sheet1!$B$1174</definedName>
    <definedName name="wclb">Sheet1!$B$1410</definedName>
    <definedName name="wcps">Sheet1!$B$337</definedName>
    <definedName name="wcrj">Sheet1!$B$637</definedName>
    <definedName name="wdbm">Sheet1!$B$919</definedName>
    <definedName name="wdgw">Sheet1!$B$2379</definedName>
    <definedName name="wdjq">Sheet1!$B$1270</definedName>
    <definedName name="wdlg">Sheet1!$B$2586</definedName>
    <definedName name="wdll">Sheet1!$B$87</definedName>
    <definedName name="wdnb">Sheet1!$B$2502</definedName>
    <definedName name="wdnm">Sheet1!$B$2170</definedName>
    <definedName name="wdnv">Sheet1!$B$1080</definedName>
    <definedName name="wdpz">Sheet1!$B$1637</definedName>
    <definedName name="wdqq">Sheet1!$B$187</definedName>
    <definedName name="wdqw">Sheet1!$B$364</definedName>
    <definedName name="wdrq">Sheet1!$B$1421</definedName>
    <definedName name="wdvh">Sheet1!$B$1666</definedName>
    <definedName name="wdwp">Sheet1!$B$2050</definedName>
    <definedName name="wdwr">Sheet1!$B$2263</definedName>
    <definedName name="wfbz">Sheet1!$B$1748</definedName>
    <definedName name="wfdv">Sheet1!$B$549</definedName>
    <definedName name="wffm">Sheet1!$B$1399</definedName>
    <definedName name="wfjf">Sheet1!$B$1887</definedName>
    <definedName name="wfqh">Sheet1!$B$1528</definedName>
    <definedName name="wfwm">Sheet1!$B$970</definedName>
    <definedName name="wfzs">Sheet1!$B$1741</definedName>
    <definedName name="wgdz">Sheet1!$B$1525</definedName>
    <definedName name="wgfc">Sheet1!$B$605</definedName>
    <definedName name="wgfr">Sheet1!$B$616</definedName>
    <definedName name="wglt">Sheet1!$B$1171</definedName>
    <definedName name="wgmh">Sheet1!$B$446</definedName>
    <definedName name="wgmn">Sheet1!$B$160</definedName>
    <definedName name="wgpl">Sheet1!$B$1182</definedName>
    <definedName name="wgqp">Sheet1!$B$1415</definedName>
    <definedName name="wgvm">Sheet1!$B$1459</definedName>
    <definedName name="whcv">Sheet1!$B$721</definedName>
    <definedName name="whdr">Sheet1!$B$1671</definedName>
    <definedName name="whhd">Sheet1!$B$1896</definedName>
    <definedName name="whml">Sheet1!$B$455</definedName>
    <definedName name="whpr">Sheet1!$B$1904</definedName>
    <definedName name="whtb">Sheet1!$B$1509</definedName>
    <definedName name="whth">Sheet1!$B$11</definedName>
    <definedName name="whzz">Sheet1!$B$351</definedName>
    <definedName name="wjbf">Sheet1!$B$1848</definedName>
    <definedName name="wjcr">Sheet1!$B$544</definedName>
    <definedName name="wjfj">Sheet1!$B$2511</definedName>
    <definedName name="wjgw">Sheet1!$B$2582</definedName>
    <definedName name="wjhg">Sheet1!$B$303</definedName>
    <definedName name="wjhj">Sheet1!$B$1605</definedName>
    <definedName name="wjjp">Sheet1!$B$1712</definedName>
    <definedName name="wjlh">Sheet1!$B$1706</definedName>
    <definedName name="wjnt">Sheet1!$B$2425</definedName>
    <definedName name="wjpp">Sheet1!$B$328</definedName>
    <definedName name="wjpt">Sheet1!$B$418</definedName>
    <definedName name="wjsq">Sheet1!$B$188</definedName>
    <definedName name="wjtd">Sheet1!$B$1054</definedName>
    <definedName name="wjtp">Sheet1!$B$413</definedName>
    <definedName name="wjwz">Sheet1!$B$2074</definedName>
    <definedName name="wjzg">Sheet1!$B$707</definedName>
    <definedName name="wlbm">Sheet1!$B$1803</definedName>
    <definedName name="wlpf">Sheet1!$B$788</definedName>
    <definedName name="wlvl">Sheet1!$B$2318</definedName>
    <definedName name="wlvr">Sheet1!$B$1461</definedName>
    <definedName name="wlwv">Sheet1!$B$585</definedName>
    <definedName name="wmbb">Sheet1!$B$2188</definedName>
    <definedName name="wmbh">Sheet1!$B$1361</definedName>
    <definedName name="wmmt">Sheet1!$B$1958</definedName>
    <definedName name="wmrp">Sheet1!$B$909</definedName>
    <definedName name="wnct">Sheet1!$B$951</definedName>
    <definedName name="wnfd">Sheet1!$B$1762</definedName>
    <definedName name="wnms">Sheet1!$B$1713</definedName>
    <definedName name="wnql">Sheet1!$B$817</definedName>
    <definedName name="wnvb">Sheet1!$B$844</definedName>
    <definedName name="wnzg">Sheet1!$B$1579</definedName>
    <definedName name="wphd">Sheet1!$B$1898</definedName>
    <definedName name="wpln">Sheet1!$B$309</definedName>
    <definedName name="wppb">Sheet1!$B$657</definedName>
    <definedName name="wqch">Sheet1!$B$1990</definedName>
    <definedName name="wqlf">Sheet1!$B$402</definedName>
    <definedName name="wqmt">Sheet1!$B$532</definedName>
    <definedName name="wqqc">Sheet1!$B$810</definedName>
    <definedName name="wqrt">Sheet1!$B$525</definedName>
    <definedName name="wrcr">Sheet1!$B$2341</definedName>
    <definedName name="wrdh">Sheet1!$B$459</definedName>
    <definedName name="wrfn">Sheet1!$B$986</definedName>
    <definedName name="wrlp">Sheet1!$B$180</definedName>
    <definedName name="wrnp">Sheet1!$B$2217</definedName>
    <definedName name="wrqd">Sheet1!$B$2601</definedName>
    <definedName name="wrqg">Sheet1!$B$473</definedName>
    <definedName name="wrrn">Sheet1!$B$1414</definedName>
    <definedName name="wrrz">Sheet1!$B$1472</definedName>
    <definedName name="wrsf">Sheet1!$B$1860</definedName>
    <definedName name="wrtb">Sheet1!$B$535</definedName>
    <definedName name="wrth">Sheet1!$B$2529</definedName>
    <definedName name="wsbv">Sheet1!$B$2413</definedName>
    <definedName name="wsfs">Sheet1!$B$1562</definedName>
    <definedName name="wsst">Sheet1!$B$1585</definedName>
    <definedName name="wstm">Sheet1!$B$1621</definedName>
    <definedName name="wtcb">Sheet1!$B$843</definedName>
    <definedName name="wtcd">Sheet1!$B$91</definedName>
    <definedName name="wtjz">Sheet1!$B$800</definedName>
    <definedName name="wtnb">Sheet1!$B$2444</definedName>
    <definedName name="wttp">Sheet1!$B$2092</definedName>
    <definedName name="wtwv">Sheet1!$B$2673</definedName>
    <definedName name="wvcp">Sheet1!$B$2252</definedName>
    <definedName name="wvcs">Sheet1!$B$971</definedName>
    <definedName name="wvdg">Sheet1!$B$314</definedName>
    <definedName name="wvfr">Sheet1!$B$340</definedName>
    <definedName name="wvfw">Sheet1!$B$1176</definedName>
    <definedName name="wvlr">Sheet1!$B$689</definedName>
    <definedName name="wvml">Sheet1!$B$1118</definedName>
    <definedName name="wvmm">Sheet1!$B$2337</definedName>
    <definedName name="wvmv">Sheet1!$B$2315</definedName>
    <definedName name="wvrm">Sheet1!$B$691</definedName>
    <definedName name="wvsc">Sheet1!$B$260</definedName>
    <definedName name="wvsj">Sheet1!$B$1577</definedName>
    <definedName name="wvtc">Sheet1!$B$361</definedName>
    <definedName name="wvtm">Sheet1!$B$682</definedName>
    <definedName name="wvwf">Sheet1!$B$31</definedName>
    <definedName name="wvwh">Sheet1!$B$1081</definedName>
    <definedName name="wvwn">Sheet1!$B$833</definedName>
    <definedName name="wwgw">Sheet1!$B$497</definedName>
    <definedName name="wwhs">Sheet1!$B$1253</definedName>
    <definedName name="wwmq">Sheet1!$B$237</definedName>
    <definedName name="wwms">Sheet1!$B$1527</definedName>
    <definedName name="wwnj">Sheet1!$B$618</definedName>
    <definedName name="wwvv">Sheet1!$B$1273</definedName>
    <definedName name="wwzp">Sheet1!$B$1152</definedName>
    <definedName name="wzbm">Sheet1!$B$2588</definedName>
    <definedName name="wzdf">Sheet1!$B$613</definedName>
    <definedName name="wzfd">Sheet1!$B$1672</definedName>
    <definedName name="wzfn">Sheet1!$B$949</definedName>
    <definedName name="wzfs">Sheet1!$B$80</definedName>
    <definedName name="wzgl">Sheet1!$B$2557</definedName>
    <definedName name="wzhp">Sheet1!$B$1484</definedName>
    <definedName name="wzjb">Sheet1!$B$1191</definedName>
    <definedName name="wzjj">Sheet1!$B$1342</definedName>
    <definedName name="wzmm">Sheet1!$B$450</definedName>
    <definedName name="wznw">Sheet1!$B$1739</definedName>
    <definedName name="wzph">Sheet1!$B$2692</definedName>
    <definedName name="wzql">Sheet1!$B$2446</definedName>
    <definedName name="wzsh">Sheet1!$B$275</definedName>
    <definedName name="wzsn">Sheet1!$B$2335</definedName>
    <definedName name="wzts">Sheet1!$B$1504</definedName>
    <definedName name="wzwp">Sheet1!$B$1362</definedName>
    <definedName name="wzws">Sheet1!$B$2288</definedName>
    <definedName name="zbbs">Sheet1!$B$1891</definedName>
    <definedName name="zbcw">Sheet1!$B$487</definedName>
    <definedName name="zbhz">Sheet1!$B$1743</definedName>
    <definedName name="zbjj">Sheet1!$B$965</definedName>
    <definedName name="zbjp">Sheet1!$B$759</definedName>
    <definedName name="zbmp">Sheet1!$B$2084</definedName>
    <definedName name="zbmw">Sheet1!$B$920</definedName>
    <definedName name="zbnw">Sheet1!$B$1953</definedName>
    <definedName name="zbzr">Sheet1!$B$1805</definedName>
    <definedName name="zcbw">Sheet1!$B$1569</definedName>
    <definedName name="zcfq">Sheet1!$B$1614</definedName>
    <definedName name="zchq">Sheet1!$B$312</definedName>
    <definedName name="zclc">Sheet1!$B$243</definedName>
    <definedName name="zclt">Sheet1!$B$93</definedName>
    <definedName name="zcpc">Sheet1!$B$41</definedName>
    <definedName name="zcsf">Sheet1!$B$2292</definedName>
    <definedName name="zctw">Sheet1!$B$1972</definedName>
    <definedName name="zcvz">Sheet1!$B$1229</definedName>
    <definedName name="zczc">Sheet1!$B$4</definedName>
    <definedName name="zdbl">Sheet1!$B$882</definedName>
    <definedName name="zddm">Sheet1!$B$280</definedName>
    <definedName name="zdmp">Sheet1!$B$1785</definedName>
    <definedName name="zdnr">Sheet1!$B$2461</definedName>
    <definedName name="zdpw">Sheet1!$B$557</definedName>
    <definedName name="zdqz">Sheet1!$B$747</definedName>
    <definedName name="zdsd">Sheet1!$B$1880</definedName>
    <definedName name="zfbr">Sheet1!$B$2500</definedName>
    <definedName name="zfpr">Sheet1!$B$1412</definedName>
    <definedName name="zfrc">Sheet1!$B$2286</definedName>
    <definedName name="zfrm">Sheet1!$B$1419</definedName>
    <definedName name="zfsf">Sheet1!$B$2139</definedName>
    <definedName name="zftc">Sheet1!$B$2462</definedName>
    <definedName name="zgdm">Sheet1!$B$1267</definedName>
    <definedName name="zgjb">Sheet1!$B$2068</definedName>
    <definedName name="zgqm">Sheet1!$B$2388</definedName>
    <definedName name="zgrj">Sheet1!$B$625</definedName>
    <definedName name="zgtr">Sheet1!$B$1676</definedName>
    <definedName name="zgtv">Sheet1!$B$2494</definedName>
    <definedName name="zgvc">Sheet1!$B$891</definedName>
    <definedName name="zgvg">Sheet1!$B$1674</definedName>
    <definedName name="zhbn">Sheet1!$B$1829</definedName>
    <definedName name="zhfd">Sheet1!$B$2662</definedName>
    <definedName name="zhjf">Sheet1!$B$1889</definedName>
    <definedName name="zhlb">Sheet1!$B$1049</definedName>
    <definedName name="zhmd">Sheet1!$B$1653</definedName>
    <definedName name="zhpr">Sheet1!$B$1885</definedName>
    <definedName name="zhqf">Sheet1!$B$1389</definedName>
    <definedName name="zhqv">Sheet1!$B$1566</definedName>
    <definedName name="zhtq">Sheet1!$B$647</definedName>
    <definedName name="zhvc">Sheet1!$B$808</definedName>
    <definedName name="zhvz">Sheet1!$B$197</definedName>
    <definedName name="zjdm">Sheet1!$B$2367</definedName>
    <definedName name="zjdz">Sheet1!$B$118</definedName>
    <definedName name="zjgt">Sheet1!$B$49</definedName>
    <definedName name="zjps">Sheet1!$B$1296</definedName>
    <definedName name="zjzs">Sheet1!$B$1847</definedName>
    <definedName name="zlbd">Sheet1!$B$173</definedName>
    <definedName name="zlbp">Sheet1!$B$398</definedName>
    <definedName name="zlcn">Sheet1!$B$7</definedName>
    <definedName name="zlfm">Sheet1!$B$2264</definedName>
    <definedName name="zljs">Sheet1!$B$1969</definedName>
    <definedName name="zlpr">Sheet1!$B$580</definedName>
    <definedName name="zlsb">Sheet1!$B$377</definedName>
    <definedName name="zltj">Sheet1!$B$2699</definedName>
    <definedName name="zlvj">Sheet1!$B$640</definedName>
    <definedName name="zmbb">Sheet1!$B$126</definedName>
    <definedName name="zmcn">Sheet1!$B$2013</definedName>
    <definedName name="zmfn">Sheet1!$B$2536</definedName>
    <definedName name="zmlm">Sheet1!$B$822</definedName>
    <definedName name="zmnz">Sheet1!$B$771</definedName>
    <definedName name="zmqb">Sheet1!$B$2158</definedName>
    <definedName name="zmrg">Sheet1!$B$4</definedName>
    <definedName name="zmwp">Sheet1!$B$1961</definedName>
    <definedName name="zncf">Sheet1!$B$1768</definedName>
    <definedName name="zngc">Sheet1!$B$2488</definedName>
    <definedName name="zngh">Sheet1!$B$179</definedName>
    <definedName name="znnc">Sheet1!$B$2395</definedName>
    <definedName name="znnj">Sheet1!$B$1291</definedName>
    <definedName name="znpv">Sheet1!$B$2665</definedName>
    <definedName name="znrf">Sheet1!$B$2046</definedName>
    <definedName name="znrp">Sheet1!$B$1845</definedName>
    <definedName name="zntm">Sheet1!$B$1675</definedName>
    <definedName name="znvj">Sheet1!$B$1752</definedName>
    <definedName name="znzl">Sheet1!$B$904</definedName>
    <definedName name="zpft">Sheet1!$B$1560</definedName>
    <definedName name="zplw">Sheet1!$B$881</definedName>
    <definedName name="zppc">Sheet1!$B$2143</definedName>
    <definedName name="zppz">Sheet1!$B$2347</definedName>
    <definedName name="zprc">Sheet1!$B$1921</definedName>
    <definedName name="zpsb">Sheet1!$B$2386</definedName>
    <definedName name="zptv">Sheet1!$B$827</definedName>
    <definedName name="zptw">Sheet1!$B$2392</definedName>
    <definedName name="zqcn">Sheet1!$B$1697</definedName>
    <definedName name="zqdb">Sheet1!$B$2088</definedName>
    <definedName name="zqfs">Sheet1!$B$812</definedName>
    <definedName name="zqgl">Sheet1!$B$466</definedName>
    <definedName name="zqjl">Sheet1!$B$2559</definedName>
    <definedName name="zqjs">Sheet1!$B$2052</definedName>
    <definedName name="zqqs">Sheet1!$B$873</definedName>
    <definedName name="zqsq">Sheet1!$B$1005</definedName>
    <definedName name="zqtd">Sheet1!$B$1774</definedName>
    <definedName name="zqwp">Sheet1!$B$614</definedName>
    <definedName name="zqzr">Sheet1!$B$1608</definedName>
    <definedName name="zrbl">Sheet1!$B$1163</definedName>
    <definedName name="zrcm">Sheet1!$B$1744</definedName>
    <definedName name="zrlm">Sheet1!$B$1987</definedName>
    <definedName name="zrmr">Sheet1!$B$1616</definedName>
    <definedName name="zrpj">Sheet1!$B$204</definedName>
    <definedName name="zrqw">Sheet1!$B$1275</definedName>
    <definedName name="zrtv">Sheet1!$B$1824</definedName>
    <definedName name="zrvn">Sheet1!$B$996</definedName>
    <definedName name="zrvq">Sheet1!$B$1004</definedName>
    <definedName name="zrwh">Sheet1!$B$1991</definedName>
    <definedName name="zsdf">Sheet1!$B$2593</definedName>
    <definedName name="zsfg">Sheet1!$B$2146</definedName>
    <definedName name="zshc">Sheet1!$B$468</definedName>
    <definedName name="zsrg">Sheet1!$B$672</definedName>
    <definedName name="zsrv">Sheet1!$B$464</definedName>
    <definedName name="zsvn">Sheet1!$B$2566</definedName>
    <definedName name="zswn">Sheet1!$B$1442</definedName>
    <definedName name="zszf">Sheet1!$B$2257</definedName>
    <definedName name="ztbg">Sheet1!$B$1626</definedName>
    <definedName name="ztdt">Sheet1!$B$2021</definedName>
    <definedName name="ztgr">Sheet1!$B$2654</definedName>
    <definedName name="zthq">Sheet1!$B$1063</definedName>
    <definedName name="ztjg">Sheet1!$B$1856</definedName>
    <definedName name="ztnq">Sheet1!$B$1718</definedName>
    <definedName name="ztqf">Sheet1!$B$1828</definedName>
    <definedName name="ztql">Sheet1!$B$2430</definedName>
    <definedName name="ztsp">Sheet1!$B$847</definedName>
    <definedName name="zvbh">Sheet1!$B$2451</definedName>
    <definedName name="zvdj">Sheet1!$B$1132</definedName>
    <definedName name="zvfc">Sheet1!$B$1695</definedName>
    <definedName name="zvhr">Sheet1!$B$1834</definedName>
    <definedName name="zvjg">Sheet1!$B$2269</definedName>
    <definedName name="zvjq">Sheet1!$B$1521</definedName>
    <definedName name="zvnj">Sheet1!$B$1498</definedName>
    <definedName name="zvsp">Sheet1!$B$1505</definedName>
    <definedName name="zvvw">Sheet1!$B$124</definedName>
    <definedName name="zwbm">Sheet1!$B$2482</definedName>
    <definedName name="zwcs">Sheet1!$B$728</definedName>
    <definedName name="zwcz">Sheet1!$B$1662</definedName>
    <definedName name="zwdd">Sheet1!$B$2450</definedName>
    <definedName name="zwdr">Sheet1!$B$1619</definedName>
    <definedName name="zwhd">Sheet1!$B$1103</definedName>
    <definedName name="zwnj">Sheet1!$B$1761</definedName>
    <definedName name="zwrr">Sheet1!$B$1746</definedName>
    <definedName name="zzhl">Sheet1!$B$749</definedName>
    <definedName name="zzlf">Sheet1!$B$611</definedName>
    <definedName name="zzrg">Sheet1!$B$1686</definedName>
    <definedName name="zztb">Sheet1!$B$1588</definedName>
    <definedName name="zztm">Sheet1!$B$2602</definedName>
    <definedName name="zzwg">Sheet1!$B$908</definedName>
    <definedName name="zzzb">Sheet1!$B$2102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97" i="1" l="1"/>
  <c r="I2" i="1" s="1"/>
  <c r="B2702" i="1"/>
  <c r="B2701" i="1"/>
  <c r="B2700" i="1"/>
  <c r="B2314" i="1" s="1"/>
  <c r="B2699" i="1"/>
  <c r="B2698" i="1"/>
  <c r="B2697" i="1"/>
  <c r="B2695" i="1"/>
  <c r="B2694" i="1"/>
  <c r="B2691" i="1"/>
  <c r="B2690" i="1"/>
  <c r="B2688" i="1"/>
  <c r="B2686" i="1"/>
  <c r="B2684" i="1"/>
  <c r="B2683" i="1"/>
  <c r="B2554" i="1" s="1"/>
  <c r="B681" i="1" s="1"/>
  <c r="B2681" i="1"/>
  <c r="B2676" i="1"/>
  <c r="B2675" i="1"/>
  <c r="B2674" i="1"/>
  <c r="B2673" i="1"/>
  <c r="B2671" i="1"/>
  <c r="B2670" i="1"/>
  <c r="B2669" i="1"/>
  <c r="B2667" i="1"/>
  <c r="B2665" i="1"/>
  <c r="B2663" i="1"/>
  <c r="B2662" i="1"/>
  <c r="B2661" i="1"/>
  <c r="B2658" i="1"/>
  <c r="B2657" i="1"/>
  <c r="B2656" i="1"/>
  <c r="B2654" i="1"/>
  <c r="B2653" i="1"/>
  <c r="B2651" i="1"/>
  <c r="B2649" i="1"/>
  <c r="B2648" i="1"/>
  <c r="B2647" i="1"/>
  <c r="B2645" i="1"/>
  <c r="B2644" i="1"/>
  <c r="B2642" i="1"/>
  <c r="B2641" i="1"/>
  <c r="B2639" i="1"/>
  <c r="B2636" i="1"/>
  <c r="B2635" i="1"/>
  <c r="B2633" i="1"/>
  <c r="B2631" i="1"/>
  <c r="B2628" i="1"/>
  <c r="B2627" i="1"/>
  <c r="B2342" i="1" s="1"/>
  <c r="B2626" i="1"/>
  <c r="B2624" i="1"/>
  <c r="B2623" i="1"/>
  <c r="B2622" i="1"/>
  <c r="B2619" i="1"/>
  <c r="B1707" i="1" s="1"/>
  <c r="B1280" i="1" s="1"/>
  <c r="B2581" i="1" s="1"/>
  <c r="B2618" i="1"/>
  <c r="B2611" i="1"/>
  <c r="B930" i="1" s="1"/>
  <c r="B2610" i="1"/>
  <c r="B2609" i="1"/>
  <c r="B1723" i="1" s="1"/>
  <c r="B1685" i="1" s="1"/>
  <c r="B2608" i="1"/>
  <c r="B2606" i="1"/>
  <c r="B2605" i="1"/>
  <c r="B2604" i="1"/>
  <c r="B2603" i="1"/>
  <c r="B1773" i="1" s="1"/>
  <c r="B1620" i="1" s="1"/>
  <c r="B2600" i="1"/>
  <c r="B2599" i="1"/>
  <c r="B2594" i="1"/>
  <c r="B2593" i="1"/>
  <c r="B2590" i="1"/>
  <c r="B2589" i="1"/>
  <c r="B2587" i="1"/>
  <c r="B2396" i="1" s="1"/>
  <c r="B2253" i="1" s="1"/>
  <c r="B2585" i="1"/>
  <c r="B2582" i="1"/>
  <c r="B2579" i="1"/>
  <c r="B2578" i="1"/>
  <c r="B2576" i="1"/>
  <c r="B2575" i="1"/>
  <c r="B2574" i="1"/>
  <c r="B2572" i="1"/>
  <c r="B2568" i="1"/>
  <c r="B2566" i="1"/>
  <c r="B2563" i="1"/>
  <c r="B2560" i="1"/>
  <c r="B2559" i="1"/>
  <c r="B2558" i="1"/>
  <c r="B2557" i="1"/>
  <c r="B2556" i="1"/>
  <c r="B147" i="1" s="1"/>
  <c r="B804" i="1" s="1"/>
  <c r="B2552" i="1"/>
  <c r="B2550" i="1"/>
  <c r="B2549" i="1"/>
  <c r="B1369" i="1" s="1"/>
  <c r="B2076" i="1" s="1"/>
  <c r="B2548" i="1"/>
  <c r="B1405" i="1" s="1"/>
  <c r="B2547" i="1"/>
  <c r="B2545" i="1"/>
  <c r="B2541" i="1"/>
  <c r="B2539" i="1"/>
  <c r="B2316" i="1" s="1"/>
  <c r="B2537" i="1"/>
  <c r="B2536" i="1"/>
  <c r="B2534" i="1"/>
  <c r="B2533" i="1"/>
  <c r="B1650" i="1" s="1"/>
  <c r="B2532" i="1"/>
  <c r="B2531" i="1"/>
  <c r="B2530" i="1"/>
  <c r="B2529" i="1"/>
  <c r="B2526" i="1"/>
  <c r="B2525" i="1"/>
  <c r="B2523" i="1"/>
  <c r="B2522" i="1"/>
  <c r="B2187" i="1" s="1"/>
  <c r="B2521" i="1"/>
  <c r="B2519" i="1"/>
  <c r="B2518" i="1"/>
  <c r="B2516" i="1"/>
  <c r="B2511" i="1"/>
  <c r="B1673" i="1" s="1"/>
  <c r="B1011" i="1" s="1"/>
  <c r="B2510" i="1"/>
  <c r="B2509" i="1"/>
  <c r="B1870" i="1" s="1"/>
  <c r="B2508" i="1"/>
  <c r="B2507" i="1"/>
  <c r="B2496" i="1"/>
  <c r="B2488" i="1" s="1"/>
  <c r="B2494" i="1"/>
  <c r="B2492" i="1"/>
  <c r="B2487" i="1"/>
  <c r="B2485" i="1"/>
  <c r="B2483" i="1"/>
  <c r="B2481" i="1"/>
  <c r="B2478" i="1"/>
  <c r="B2477" i="1"/>
  <c r="B2476" i="1"/>
  <c r="B2475" i="1"/>
  <c r="B2474" i="1"/>
  <c r="B2473" i="1"/>
  <c r="B2472" i="1"/>
  <c r="B2471" i="1"/>
  <c r="B2467" i="1"/>
  <c r="B2466" i="1"/>
  <c r="B2465" i="1"/>
  <c r="B2462" i="1"/>
  <c r="B1408" i="1" s="1"/>
  <c r="B2461" i="1"/>
  <c r="B2459" i="1"/>
  <c r="B2455" i="1"/>
  <c r="B2449" i="1"/>
  <c r="B1795" i="1" s="1"/>
  <c r="B1098" i="1" s="1"/>
  <c r="B900" i="1" s="1"/>
  <c r="B2447" i="1"/>
  <c r="B2444" i="1"/>
  <c r="B2442" i="1"/>
  <c r="B2439" i="1"/>
  <c r="B2430" i="1"/>
  <c r="B811" i="1" s="1"/>
  <c r="B1720" i="1" s="1"/>
  <c r="B155" i="1" s="1"/>
  <c r="B699" i="1" s="1"/>
  <c r="B2429" i="1"/>
  <c r="B2428" i="1"/>
  <c r="B2424" i="1"/>
  <c r="B2420" i="1"/>
  <c r="B2418" i="1"/>
  <c r="B2416" i="1"/>
  <c r="B2415" i="1"/>
  <c r="B2411" i="1"/>
  <c r="B2408" i="1"/>
  <c r="B2407" i="1"/>
  <c r="B2406" i="1"/>
  <c r="B2403" i="1"/>
  <c r="B2402" i="1"/>
  <c r="B2401" i="1"/>
  <c r="B2400" i="1"/>
  <c r="B2399" i="1"/>
  <c r="B2385" i="1"/>
  <c r="B2383" i="1"/>
  <c r="B2381" i="1"/>
  <c r="B2380" i="1"/>
  <c r="B2379" i="1"/>
  <c r="B2377" i="1"/>
  <c r="B2376" i="1"/>
  <c r="B2373" i="1"/>
  <c r="B2372" i="1"/>
  <c r="B2371" i="1"/>
  <c r="B2369" i="1"/>
  <c r="B2368" i="1"/>
  <c r="B1203" i="1" s="1"/>
  <c r="B1197" i="1" s="1"/>
  <c r="B2367" i="1"/>
  <c r="B2365" i="1"/>
  <c r="B2364" i="1"/>
  <c r="B2359" i="1"/>
  <c r="B2356" i="1"/>
  <c r="B2355" i="1"/>
  <c r="B2354" i="1"/>
  <c r="B2353" i="1"/>
  <c r="B2350" i="1"/>
  <c r="B2348" i="1"/>
  <c r="B2344" i="1"/>
  <c r="B2343" i="1"/>
  <c r="B2340" i="1"/>
  <c r="B2339" i="1"/>
  <c r="B2337" i="1"/>
  <c r="B2336" i="1"/>
  <c r="B2334" i="1"/>
  <c r="B2332" i="1"/>
  <c r="B2329" i="1"/>
  <c r="B2328" i="1"/>
  <c r="B2325" i="1"/>
  <c r="B2201" i="1" s="1"/>
  <c r="B2324" i="1"/>
  <c r="B2323" i="1"/>
  <c r="B2322" i="1"/>
  <c r="B1885" i="1" s="1"/>
  <c r="B2320" i="1"/>
  <c r="B2319" i="1"/>
  <c r="B2318" i="1"/>
  <c r="B2317" i="1"/>
  <c r="B2312" i="1"/>
  <c r="B357" i="1" s="1"/>
  <c r="B2311" i="1"/>
  <c r="B2310" i="1"/>
  <c r="B2307" i="1"/>
  <c r="B2306" i="1"/>
  <c r="B2304" i="1"/>
  <c r="B2303" i="1"/>
  <c r="B2302" i="1"/>
  <c r="B2301" i="1"/>
  <c r="B2300" i="1"/>
  <c r="B2299" i="1"/>
  <c r="B2294" i="1"/>
  <c r="B2293" i="1"/>
  <c r="B2292" i="1"/>
  <c r="B522" i="1" s="1"/>
  <c r="B943" i="1" s="1"/>
  <c r="B2689" i="1" s="1"/>
  <c r="B2291" i="1"/>
  <c r="B2290" i="1"/>
  <c r="B2289" i="1"/>
  <c r="B2287" i="1"/>
  <c r="B2283" i="1"/>
  <c r="B2281" i="1"/>
  <c r="B2279" i="1"/>
  <c r="B2278" i="1"/>
  <c r="B2277" i="1"/>
  <c r="B2276" i="1"/>
  <c r="B2274" i="1"/>
  <c r="B2331" i="1" s="1"/>
  <c r="B2272" i="1"/>
  <c r="B2269" i="1"/>
  <c r="B2268" i="1"/>
  <c r="B2267" i="1"/>
  <c r="B2265" i="1"/>
  <c r="B2264" i="1"/>
  <c r="B2263" i="1"/>
  <c r="B2262" i="1"/>
  <c r="B2261" i="1"/>
  <c r="B2260" i="1"/>
  <c r="B2257" i="1"/>
  <c r="B2256" i="1"/>
  <c r="B2250" i="1"/>
  <c r="B2242" i="1"/>
  <c r="B2239" i="1"/>
  <c r="B2235" i="1"/>
  <c r="B2232" i="1"/>
  <c r="B2228" i="1"/>
  <c r="B1537" i="1" s="1"/>
  <c r="B2378" i="1" s="1"/>
  <c r="B334" i="1" s="1"/>
  <c r="B2226" i="1"/>
  <c r="B2223" i="1"/>
  <c r="B2220" i="1"/>
  <c r="B2219" i="1"/>
  <c r="B2217" i="1"/>
  <c r="B2215" i="1"/>
  <c r="B2213" i="1"/>
  <c r="B2211" i="1"/>
  <c r="B2210" i="1"/>
  <c r="B2209" i="1"/>
  <c r="B2207" i="1"/>
  <c r="B2206" i="1"/>
  <c r="B2205" i="1"/>
  <c r="B2204" i="1"/>
  <c r="B2198" i="1"/>
  <c r="B2197" i="1"/>
  <c r="B2196" i="1"/>
  <c r="B2195" i="1"/>
  <c r="B2192" i="1"/>
  <c r="B2190" i="1"/>
  <c r="B2184" i="1"/>
  <c r="B2182" i="1"/>
  <c r="B2178" i="1"/>
  <c r="B2177" i="1"/>
  <c r="B2176" i="1"/>
  <c r="B2175" i="1"/>
  <c r="B2167" i="1"/>
  <c r="B2166" i="1"/>
  <c r="B2165" i="1"/>
  <c r="B2208" i="1" s="1"/>
  <c r="B2084" i="1" s="1"/>
  <c r="B1563" i="1" s="1"/>
  <c r="B1828" i="1" s="1"/>
  <c r="B2164" i="1"/>
  <c r="B2160" i="1"/>
  <c r="B2158" i="1"/>
  <c r="B2157" i="1"/>
  <c r="B2156" i="1"/>
  <c r="B2155" i="1"/>
  <c r="B1965" i="1" s="1"/>
  <c r="B1798" i="1" s="1"/>
  <c r="B1338" i="1" s="1"/>
  <c r="B2154" i="1"/>
  <c r="B2152" i="1"/>
  <c r="B2151" i="1"/>
  <c r="B2148" i="1"/>
  <c r="B2147" i="1"/>
  <c r="B2145" i="1"/>
  <c r="B2144" i="1"/>
  <c r="B2142" i="1"/>
  <c r="B2141" i="1"/>
  <c r="B2136" i="1"/>
  <c r="B2135" i="1"/>
  <c r="B2132" i="1"/>
  <c r="B2129" i="1"/>
  <c r="B2128" i="1"/>
  <c r="B2123" i="1"/>
  <c r="B2121" i="1"/>
  <c r="B2119" i="1"/>
  <c r="B2118" i="1"/>
  <c r="B1905" i="1" s="1"/>
  <c r="B2117" i="1"/>
  <c r="B2116" i="1"/>
  <c r="B2115" i="1"/>
  <c r="B2113" i="1"/>
  <c r="B2104" i="1"/>
  <c r="B2102" i="1"/>
  <c r="B2100" i="1"/>
  <c r="B2099" i="1"/>
  <c r="B2098" i="1"/>
  <c r="B2097" i="1"/>
  <c r="B2096" i="1"/>
  <c r="B2095" i="1"/>
  <c r="B1826" i="1" s="1"/>
  <c r="B314" i="1" s="1"/>
  <c r="B2092" i="1"/>
  <c r="B2091" i="1"/>
  <c r="B2090" i="1"/>
  <c r="B2089" i="1"/>
  <c r="B2088" i="1"/>
  <c r="B2087" i="1"/>
  <c r="B2086" i="1"/>
  <c r="B2081" i="1"/>
  <c r="B2080" i="1"/>
  <c r="B2079" i="1"/>
  <c r="B2078" i="1"/>
  <c r="B2070" i="1"/>
  <c r="B2069" i="1"/>
  <c r="B1021" i="1" s="1"/>
  <c r="B2066" i="1"/>
  <c r="B2065" i="1"/>
  <c r="B2063" i="1"/>
  <c r="B2060" i="1"/>
  <c r="B2058" i="1"/>
  <c r="B2614" i="1" s="1"/>
  <c r="B2057" i="1"/>
  <c r="B2055" i="1"/>
  <c r="B2054" i="1"/>
  <c r="B1328" i="1" s="1"/>
  <c r="B2053" i="1"/>
  <c r="B2052" i="1"/>
  <c r="B2050" i="1"/>
  <c r="B2049" i="1"/>
  <c r="B2048" i="1"/>
  <c r="B2047" i="1"/>
  <c r="B2045" i="1"/>
  <c r="B2044" i="1"/>
  <c r="B2038" i="1"/>
  <c r="B2036" i="1"/>
  <c r="B2034" i="1"/>
  <c r="B2033" i="1"/>
  <c r="B2417" i="1" s="1"/>
  <c r="B2030" i="1"/>
  <c r="B2028" i="1"/>
  <c r="B2025" i="1"/>
  <c r="B2024" i="1"/>
  <c r="B2022" i="1"/>
  <c r="B2017" i="1"/>
  <c r="B2015" i="1"/>
  <c r="B2703" i="1" s="1"/>
  <c r="B2014" i="1"/>
  <c r="B2013" i="1"/>
  <c r="B1454" i="1" s="1"/>
  <c r="B2011" i="1"/>
  <c r="B2010" i="1"/>
  <c r="B2009" i="1"/>
  <c r="B2008" i="1"/>
  <c r="B2007" i="1"/>
  <c r="B2006" i="1"/>
  <c r="B2546" i="1" s="1"/>
  <c r="B2005" i="1"/>
  <c r="B2004" i="1"/>
  <c r="B2000" i="1"/>
  <c r="B1994" i="1"/>
  <c r="B1993" i="1"/>
  <c r="B977" i="1" s="1"/>
  <c r="B1992" i="1"/>
  <c r="B1991" i="1"/>
  <c r="B1989" i="1"/>
  <c r="B1988" i="1"/>
  <c r="B1987" i="1"/>
  <c r="B1979" i="1"/>
  <c r="B1978" i="1"/>
  <c r="B1975" i="1"/>
  <c r="B1974" i="1"/>
  <c r="B1973" i="1"/>
  <c r="B1289" i="1" s="1"/>
  <c r="B290" i="1" s="1"/>
  <c r="B886" i="1" s="1"/>
  <c r="B1964" i="1"/>
  <c r="B1961" i="1"/>
  <c r="B2463" i="1" s="1"/>
  <c r="B1958" i="1"/>
  <c r="B1956" i="1"/>
  <c r="B1951" i="1"/>
  <c r="B1948" i="1"/>
  <c r="B1939" i="1"/>
  <c r="B1937" i="1"/>
  <c r="B1936" i="1"/>
  <c r="B1935" i="1"/>
  <c r="B1933" i="1"/>
  <c r="B1932" i="1"/>
  <c r="B1931" i="1"/>
  <c r="B1929" i="1"/>
  <c r="B1928" i="1"/>
  <c r="B1925" i="1"/>
  <c r="B1924" i="1"/>
  <c r="B1923" i="1"/>
  <c r="B1922" i="1"/>
  <c r="B1921" i="1"/>
  <c r="B1808" i="1" s="1"/>
  <c r="B1920" i="1"/>
  <c r="B1919" i="1"/>
  <c r="B1913" i="1"/>
  <c r="B1911" i="1"/>
  <c r="B1904" i="1"/>
  <c r="B1721" i="1" s="1"/>
  <c r="B1903" i="1"/>
  <c r="B1902" i="1"/>
  <c r="B1891" i="1"/>
  <c r="B1889" i="1"/>
  <c r="B1888" i="1"/>
  <c r="B1887" i="1"/>
  <c r="B1886" i="1"/>
  <c r="B1884" i="1"/>
  <c r="B1883" i="1"/>
  <c r="B1662" i="1" s="1"/>
  <c r="B1927" i="1" s="1"/>
  <c r="B1882" i="1"/>
  <c r="B1881" i="1"/>
  <c r="B1880" i="1"/>
  <c r="B1879" i="1"/>
  <c r="B1876" i="1"/>
  <c r="B1875" i="1"/>
  <c r="B1872" i="1"/>
  <c r="B1869" i="1"/>
  <c r="B1429" i="1" s="1"/>
  <c r="B291" i="1" s="1"/>
  <c r="B1957" i="1" s="1"/>
  <c r="B1759" i="1" s="1"/>
  <c r="B1986" i="1" s="1"/>
  <c r="B1164" i="1" s="1"/>
  <c r="B1868" i="1"/>
  <c r="B1865" i="1"/>
  <c r="B1395" i="1" s="1"/>
  <c r="B1864" i="1"/>
  <c r="B1862" i="1"/>
  <c r="B1857" i="1"/>
  <c r="B1856" i="1"/>
  <c r="B1854" i="1"/>
  <c r="B1850" i="1"/>
  <c r="B1849" i="1"/>
  <c r="B2458" i="1" s="1"/>
  <c r="B2174" i="1" s="1"/>
  <c r="B1848" i="1"/>
  <c r="B1845" i="1"/>
  <c r="B1843" i="1"/>
  <c r="B1841" i="1"/>
  <c r="B1839" i="1"/>
  <c r="B1837" i="1"/>
  <c r="B2650" i="1" s="1"/>
  <c r="B1836" i="1"/>
  <c r="B1835" i="1"/>
  <c r="B1831" i="1"/>
  <c r="B1830" i="1"/>
  <c r="B1829" i="1"/>
  <c r="B2327" i="1" s="1"/>
  <c r="B2161" i="1" s="1"/>
  <c r="B1969" i="1" s="1"/>
  <c r="B2124" i="1" s="1"/>
  <c r="B837" i="1" s="1"/>
  <c r="B714" i="1" s="1"/>
  <c r="B2413" i="1" s="1"/>
  <c r="B1825" i="1"/>
  <c r="B1823" i="1"/>
  <c r="B1406" i="1" s="1"/>
  <c r="B1821" i="1"/>
  <c r="B1818" i="1"/>
  <c r="B1603" i="1" s="1"/>
  <c r="B1817" i="1"/>
  <c r="B1814" i="1"/>
  <c r="B1811" i="1"/>
  <c r="B1564" i="1" s="1"/>
  <c r="B949" i="1" s="1"/>
  <c r="B1810" i="1"/>
  <c r="B1809" i="1"/>
  <c r="B1807" i="1"/>
  <c r="B1806" i="1"/>
  <c r="B1311" i="1" s="1"/>
  <c r="B1805" i="1"/>
  <c r="B2191" i="1" s="1"/>
  <c r="B1804" i="1"/>
  <c r="B1803" i="1"/>
  <c r="B1801" i="1"/>
  <c r="B2544" i="1" s="1"/>
  <c r="B1794" i="1"/>
  <c r="B1793" i="1"/>
  <c r="B1878" i="1" s="1"/>
  <c r="B1788" i="1"/>
  <c r="B1786" i="1"/>
  <c r="B1785" i="1"/>
  <c r="B1783" i="1"/>
  <c r="B1782" i="1"/>
  <c r="B1780" i="1"/>
  <c r="B1779" i="1"/>
  <c r="B1778" i="1"/>
  <c r="B1776" i="1"/>
  <c r="B1774" i="1"/>
  <c r="B1769" i="1"/>
  <c r="B1768" i="1"/>
  <c r="B1767" i="1"/>
  <c r="B1766" i="1"/>
  <c r="B2421" i="1" s="1"/>
  <c r="B2077" i="1" s="1"/>
  <c r="B1359" i="1" s="1"/>
  <c r="B1764" i="1"/>
  <c r="B1763" i="1"/>
  <c r="B1761" i="1"/>
  <c r="B1760" i="1"/>
  <c r="B1756" i="1"/>
  <c r="B971" i="1" s="1"/>
  <c r="B2410" i="1" s="1"/>
  <c r="B1755" i="1"/>
  <c r="B1753" i="1"/>
  <c r="B1751" i="1"/>
  <c r="B1750" i="1"/>
  <c r="B1749" i="1"/>
  <c r="B1745" i="1"/>
  <c r="B1744" i="1"/>
  <c r="B1743" i="1"/>
  <c r="B1742" i="1"/>
  <c r="B1741" i="1"/>
  <c r="B1740" i="1"/>
  <c r="B1739" i="1"/>
  <c r="B1738" i="1"/>
  <c r="B1736" i="1"/>
  <c r="B34" i="1" s="1"/>
  <c r="B1735" i="1"/>
  <c r="B1734" i="1"/>
  <c r="B1732" i="1"/>
  <c r="B1731" i="1"/>
  <c r="B1729" i="1"/>
  <c r="B1725" i="1"/>
  <c r="B1724" i="1"/>
  <c r="B1718" i="1"/>
  <c r="B1717" i="1"/>
  <c r="B2214" i="1" s="1"/>
  <c r="B1714" i="1"/>
  <c r="B2244" i="1" s="1"/>
  <c r="B1331" i="1" s="1"/>
  <c r="B1711" i="1"/>
  <c r="B1706" i="1"/>
  <c r="B1705" i="1"/>
  <c r="B2375" i="1" s="1"/>
  <c r="B1703" i="1"/>
  <c r="B1702" i="1"/>
  <c r="B1699" i="1"/>
  <c r="B1697" i="1"/>
  <c r="B1696" i="1"/>
  <c r="B1695" i="1"/>
  <c r="B2569" i="1" s="1"/>
  <c r="B1693" i="1"/>
  <c r="B1692" i="1"/>
  <c r="B1691" i="1"/>
  <c r="B1690" i="1"/>
  <c r="B1689" i="1"/>
  <c r="B2149" i="1" s="1"/>
  <c r="B1686" i="1"/>
  <c r="B1684" i="1"/>
  <c r="B2500" i="1" s="1"/>
  <c r="B1679" i="1"/>
  <c r="B1677" i="1"/>
  <c r="B1675" i="1"/>
  <c r="B1672" i="1"/>
  <c r="B1669" i="1"/>
  <c r="B1667" i="1"/>
  <c r="B1666" i="1"/>
  <c r="B1664" i="1"/>
  <c r="B1663" i="1"/>
  <c r="B1661" i="1"/>
  <c r="B1657" i="1"/>
  <c r="B2241" i="1" s="1"/>
  <c r="B1656" i="1"/>
  <c r="B1655" i="1"/>
  <c r="B1654" i="1"/>
  <c r="B1652" i="1"/>
  <c r="B1649" i="1"/>
  <c r="B1648" i="1"/>
  <c r="B636" i="1" s="1"/>
  <c r="B1647" i="1"/>
  <c r="B1646" i="1"/>
  <c r="B1645" i="1"/>
  <c r="B1644" i="1"/>
  <c r="B1643" i="1"/>
  <c r="B1642" i="1"/>
  <c r="B1641" i="1"/>
  <c r="B1640" i="1"/>
  <c r="B1638" i="1"/>
  <c r="B1637" i="1"/>
  <c r="B564" i="1" s="1"/>
  <c r="B1436" i="1" s="1"/>
  <c r="B1553" i="1" s="1"/>
  <c r="B1636" i="1"/>
  <c r="B1635" i="1"/>
  <c r="B1634" i="1"/>
  <c r="B1633" i="1"/>
  <c r="B1629" i="1"/>
  <c r="B1626" i="1"/>
  <c r="B1625" i="1"/>
  <c r="B1624" i="1"/>
  <c r="B653" i="1" s="1"/>
  <c r="B536" i="1" s="1"/>
  <c r="B1838" i="1" s="1"/>
  <c r="B2137" i="1" s="1"/>
  <c r="B1623" i="1"/>
  <c r="B1621" i="1"/>
  <c r="B1619" i="1"/>
  <c r="B1618" i="1"/>
  <c r="B1617" i="1"/>
  <c r="B1616" i="1"/>
  <c r="B1615" i="1"/>
  <c r="B1614" i="1"/>
  <c r="B1762" i="1" s="1"/>
  <c r="B1613" i="1"/>
  <c r="B1612" i="1"/>
  <c r="B1611" i="1"/>
  <c r="B1609" i="1"/>
  <c r="B1608" i="1"/>
  <c r="B642" i="1" s="1"/>
  <c r="B2042" i="1" s="1"/>
  <c r="B1607" i="1"/>
  <c r="B1604" i="1"/>
  <c r="B44" i="1" s="1"/>
  <c r="B317" i="1" s="1"/>
  <c r="B1602" i="1"/>
  <c r="B1599" i="1"/>
  <c r="B1596" i="1"/>
  <c r="B1595" i="1"/>
  <c r="B1590" i="1"/>
  <c r="B1587" i="1"/>
  <c r="B1584" i="1"/>
  <c r="B1583" i="1"/>
  <c r="B1581" i="1"/>
  <c r="B1580" i="1"/>
  <c r="B1092" i="1" s="1"/>
  <c r="B751" i="1" s="1"/>
  <c r="B1577" i="1"/>
  <c r="B1576" i="1"/>
  <c r="B1575" i="1"/>
  <c r="B1574" i="1"/>
  <c r="B1573" i="1"/>
  <c r="B1572" i="1"/>
  <c r="B1571" i="1"/>
  <c r="B2146" i="1" s="1"/>
  <c r="B1570" i="1"/>
  <c r="B1568" i="1"/>
  <c r="B1566" i="1"/>
  <c r="B1561" i="1"/>
  <c r="B1985" i="1" s="1"/>
  <c r="B1549" i="1" s="1"/>
  <c r="B1560" i="1"/>
  <c r="B1559" i="1"/>
  <c r="B1557" i="1"/>
  <c r="B1556" i="1"/>
  <c r="B1555" i="1"/>
  <c r="B1554" i="1"/>
  <c r="B1551" i="1"/>
  <c r="B1548" i="1"/>
  <c r="B1547" i="1"/>
  <c r="B1546" i="1"/>
  <c r="B1544" i="1"/>
  <c r="B1542" i="1"/>
  <c r="B1540" i="1"/>
  <c r="B1538" i="1"/>
  <c r="B153" i="1" s="1"/>
  <c r="B1820" i="1" s="1"/>
  <c r="B1536" i="1"/>
  <c r="B1535" i="1"/>
  <c r="B1534" i="1"/>
  <c r="B1533" i="1"/>
  <c r="B2664" i="1" s="1"/>
  <c r="B1532" i="1"/>
  <c r="B1531" i="1"/>
  <c r="B1529" i="1"/>
  <c r="B63" i="1" s="1"/>
  <c r="B718" i="1" s="1"/>
  <c r="B1528" i="1"/>
  <c r="B1526" i="1"/>
  <c r="B1522" i="1"/>
  <c r="B1521" i="1"/>
  <c r="B1519" i="1"/>
  <c r="B1517" i="1"/>
  <c r="B1514" i="1"/>
  <c r="B1513" i="1"/>
  <c r="B223" i="1" s="1"/>
  <c r="B1775" i="1" s="1"/>
  <c r="B2222" i="1" s="1"/>
  <c r="B1512" i="1"/>
  <c r="B1858" i="1" s="1"/>
  <c r="B2398" i="1" s="1"/>
  <c r="B1510" i="1"/>
  <c r="B1508" i="1"/>
  <c r="B1504" i="1"/>
  <c r="B1503" i="1"/>
  <c r="B1502" i="1"/>
  <c r="B1500" i="1"/>
  <c r="B1498" i="1"/>
  <c r="B1497" i="1"/>
  <c r="B1496" i="1"/>
  <c r="B1495" i="1"/>
  <c r="B1494" i="1"/>
  <c r="B1901" i="1" s="1"/>
  <c r="B1493" i="1"/>
  <c r="B1492" i="1"/>
  <c r="B1491" i="1"/>
  <c r="B1490" i="1"/>
  <c r="B2227" i="1" s="1"/>
  <c r="B1489" i="1"/>
  <c r="B1488" i="1"/>
  <c r="B1487" i="1"/>
  <c r="B1484" i="1"/>
  <c r="B1483" i="1"/>
  <c r="B1482" i="1"/>
  <c r="B975" i="1" s="1"/>
  <c r="B1481" i="1"/>
  <c r="B1588" i="1" s="1"/>
  <c r="B1480" i="1"/>
  <c r="B98" i="1" s="1"/>
  <c r="B1230" i="1" s="1"/>
  <c r="B1959" i="1" s="1"/>
  <c r="B1479" i="1"/>
  <c r="B2271" i="1" s="1"/>
  <c r="B1478" i="1"/>
  <c r="B1477" i="1"/>
  <c r="B1473" i="1"/>
  <c r="B1472" i="1"/>
  <c r="B1469" i="1"/>
  <c r="B1466" i="1"/>
  <c r="B1465" i="1"/>
  <c r="B1464" i="1"/>
  <c r="B1462" i="1"/>
  <c r="B1460" i="1"/>
  <c r="B1459" i="1"/>
  <c r="B1456" i="1"/>
  <c r="B1900" i="1" s="1"/>
  <c r="B1453" i="1"/>
  <c r="B818" i="1" s="1"/>
  <c r="B1288" i="1" s="1"/>
  <c r="B1070" i="1" s="1"/>
  <c r="B1451" i="1"/>
  <c r="B279" i="1" s="1"/>
  <c r="B1449" i="1"/>
  <c r="B1448" i="1"/>
  <c r="B1447" i="1"/>
  <c r="B1446" i="1"/>
  <c r="B1445" i="1"/>
  <c r="B1444" i="1"/>
  <c r="B2280" i="1" s="1"/>
  <c r="B1014" i="1" s="1"/>
  <c r="B2012" i="1" s="1"/>
  <c r="B41" i="1" s="1"/>
  <c r="B1443" i="1"/>
  <c r="B389" i="1" s="1"/>
  <c r="B1442" i="1"/>
  <c r="B895" i="1" s="1"/>
  <c r="B1440" i="1"/>
  <c r="B1438" i="1"/>
  <c r="B1437" i="1"/>
  <c r="B1435" i="1"/>
  <c r="B1434" i="1"/>
  <c r="B1433" i="1"/>
  <c r="B1432" i="1"/>
  <c r="B2131" i="1" s="1"/>
  <c r="B1428" i="1"/>
  <c r="B1427" i="1"/>
  <c r="B1426" i="1"/>
  <c r="B1425" i="1"/>
  <c r="B1423" i="1"/>
  <c r="B1422" i="1"/>
  <c r="B1420" i="1"/>
  <c r="B1418" i="1"/>
  <c r="B1416" i="1"/>
  <c r="B1414" i="1"/>
  <c r="B1412" i="1"/>
  <c r="B1411" i="1"/>
  <c r="B1409" i="1"/>
  <c r="B1404" i="1"/>
  <c r="B1400" i="1"/>
  <c r="B1399" i="1"/>
  <c r="B1392" i="1"/>
  <c r="B1390" i="1"/>
  <c r="B1389" i="1"/>
  <c r="B1996" i="1" s="1"/>
  <c r="B1387" i="1"/>
  <c r="B1386" i="1"/>
  <c r="B1384" i="1"/>
  <c r="B1381" i="1"/>
  <c r="B1378" i="1"/>
  <c r="B1376" i="1"/>
  <c r="B1375" i="1"/>
  <c r="B637" i="1" s="1"/>
  <c r="B1373" i="1"/>
  <c r="B1371" i="1"/>
  <c r="B1370" i="1"/>
  <c r="B1366" i="1"/>
  <c r="B1365" i="1"/>
  <c r="B1364" i="1"/>
  <c r="B1363" i="1"/>
  <c r="B1362" i="1"/>
  <c r="B1358" i="1"/>
  <c r="B1357" i="1"/>
  <c r="B1354" i="1"/>
  <c r="B1348" i="1"/>
  <c r="B1347" i="1"/>
  <c r="B1346" i="1"/>
  <c r="B1341" i="1"/>
  <c r="B1337" i="1"/>
  <c r="B1336" i="1"/>
  <c r="B1332" i="1"/>
  <c r="B1329" i="1"/>
  <c r="B1326" i="1"/>
  <c r="B1325" i="1"/>
  <c r="B2438" i="1" s="1"/>
  <c r="B2358" i="1" s="1"/>
  <c r="B2460" i="1" s="1"/>
  <c r="B1324" i="1"/>
  <c r="B1323" i="1"/>
  <c r="B1322" i="1"/>
  <c r="B1321" i="1"/>
  <c r="B1320" i="1"/>
  <c r="B1318" i="1"/>
  <c r="B1317" i="1"/>
  <c r="B1316" i="1"/>
  <c r="B1207" i="1" s="1"/>
  <c r="B1315" i="1"/>
  <c r="B459" i="1" s="1"/>
  <c r="B1313" i="1"/>
  <c r="B744" i="1" s="1"/>
  <c r="B1312" i="1"/>
  <c r="B1310" i="1"/>
  <c r="B1308" i="1"/>
  <c r="B1306" i="1"/>
  <c r="B1305" i="1"/>
  <c r="B2061" i="1" s="1"/>
  <c r="B2596" i="1" s="1"/>
  <c r="B350" i="1" s="1"/>
  <c r="B2259" i="1" s="1"/>
  <c r="B1299" i="1"/>
  <c r="B1298" i="1"/>
  <c r="B1297" i="1"/>
  <c r="B1296" i="1"/>
  <c r="B1294" i="1"/>
  <c r="B2437" i="1" s="1"/>
  <c r="B747" i="1" s="1"/>
  <c r="B1713" i="1" s="1"/>
  <c r="B52" i="1" s="1"/>
  <c r="B1290" i="1"/>
  <c r="B1287" i="1"/>
  <c r="B1286" i="1"/>
  <c r="B1284" i="1"/>
  <c r="B1282" i="1"/>
  <c r="B1275" i="1"/>
  <c r="B1270" i="1"/>
  <c r="B1268" i="1"/>
  <c r="B1267" i="1"/>
  <c r="B1265" i="1"/>
  <c r="B1264" i="1"/>
  <c r="B1263" i="1"/>
  <c r="B1262" i="1"/>
  <c r="B1261" i="1"/>
  <c r="B1722" i="1" s="1"/>
  <c r="B1260" i="1"/>
  <c r="B1258" i="1"/>
  <c r="B1257" i="1"/>
  <c r="B1255" i="1"/>
  <c r="B1254" i="1"/>
  <c r="B1253" i="1"/>
  <c r="B1251" i="1"/>
  <c r="B1249" i="1"/>
  <c r="B1248" i="1"/>
  <c r="B1247" i="1"/>
  <c r="B1246" i="1"/>
  <c r="B1245" i="1"/>
  <c r="B1243" i="1"/>
  <c r="B1241" i="1"/>
  <c r="B1240" i="1"/>
  <c r="B1239" i="1"/>
  <c r="B1238" i="1"/>
  <c r="B1236" i="1"/>
  <c r="B1235" i="1"/>
  <c r="B1231" i="1"/>
  <c r="B1229" i="1"/>
  <c r="B1227" i="1"/>
  <c r="B1770" i="1" s="1"/>
  <c r="B1226" i="1"/>
  <c r="B1221" i="1"/>
  <c r="B1219" i="1"/>
  <c r="B1217" i="1"/>
  <c r="B1216" i="1"/>
  <c r="B1215" i="1"/>
  <c r="B2362" i="1" s="1"/>
  <c r="B1212" i="1"/>
  <c r="B1211" i="1"/>
  <c r="B1210" i="1"/>
  <c r="B1206" i="1"/>
  <c r="B1204" i="1"/>
  <c r="B1201" i="1"/>
  <c r="B1200" i="1"/>
  <c r="B2186" i="1" s="1"/>
  <c r="B1199" i="1"/>
  <c r="B1196" i="1"/>
  <c r="B1195" i="1"/>
  <c r="B1193" i="1"/>
  <c r="B1191" i="1"/>
  <c r="B1188" i="1"/>
  <c r="B1187" i="1"/>
  <c r="B1186" i="1"/>
  <c r="B1185" i="1"/>
  <c r="B1184" i="1"/>
  <c r="B1183" i="1"/>
  <c r="B1182" i="1"/>
  <c r="B1181" i="1"/>
  <c r="B1180" i="1"/>
  <c r="B1178" i="1"/>
  <c r="B1955" i="1" s="1"/>
  <c r="B1394" i="1" s="1"/>
  <c r="B1177" i="1"/>
  <c r="B1173" i="1"/>
  <c r="B1171" i="1"/>
  <c r="B1168" i="1"/>
  <c r="B1166" i="1"/>
  <c r="B1160" i="1"/>
  <c r="B2468" i="1" s="1"/>
  <c r="B1156" i="1"/>
  <c r="B1154" i="1"/>
  <c r="B1153" i="1"/>
  <c r="B1152" i="1"/>
  <c r="B203" i="1" s="1"/>
  <c r="B1149" i="1"/>
  <c r="B1784" i="1" s="1"/>
  <c r="B1148" i="1"/>
  <c r="B1145" i="1"/>
  <c r="B1144" i="1"/>
  <c r="B1143" i="1"/>
  <c r="B1142" i="1"/>
  <c r="B1141" i="1"/>
  <c r="B1907" i="1" s="1"/>
  <c r="B1137" i="1"/>
  <c r="B1134" i="1"/>
  <c r="B1470" i="1" s="1"/>
  <c r="B917" i="1" s="1"/>
  <c r="B1133" i="1"/>
  <c r="B482" i="1" s="1"/>
  <c r="B842" i="1" s="1"/>
  <c r="B1131" i="1"/>
  <c r="B2140" i="1" s="1"/>
  <c r="B1237" i="1" s="1"/>
  <c r="B1130" i="1"/>
  <c r="B2441" i="1" s="1"/>
  <c r="B1129" i="1"/>
  <c r="B1124" i="1"/>
  <c r="B1123" i="1"/>
  <c r="B1122" i="1"/>
  <c r="B1120" i="1"/>
  <c r="B1307" i="1" s="1"/>
  <c r="B1119" i="1"/>
  <c r="B2565" i="1" s="1"/>
  <c r="B2082" i="1" s="1"/>
  <c r="B1118" i="1"/>
  <c r="B1116" i="1"/>
  <c r="B1115" i="1"/>
  <c r="B1113" i="1"/>
  <c r="B1111" i="1"/>
  <c r="B1110" i="1"/>
  <c r="B1108" i="1"/>
  <c r="B1106" i="1"/>
  <c r="B2083" i="1" s="1"/>
  <c r="B2221" i="1" s="1"/>
  <c r="B1104" i="1"/>
  <c r="B1103" i="1"/>
  <c r="B1102" i="1"/>
  <c r="B1100" i="1"/>
  <c r="B1099" i="1"/>
  <c r="B1097" i="1"/>
  <c r="B1094" i="1"/>
  <c r="B1088" i="1"/>
  <c r="B1087" i="1"/>
  <c r="B1086" i="1"/>
  <c r="B759" i="1" s="1"/>
  <c r="B1084" i="1"/>
  <c r="B1083" i="1"/>
  <c r="B1082" i="1"/>
  <c r="B1081" i="1"/>
  <c r="B1080" i="1"/>
  <c r="B1078" i="1"/>
  <c r="B1075" i="1"/>
  <c r="B1074" i="1"/>
  <c r="B2351" i="1" s="1"/>
  <c r="B1073" i="1"/>
  <c r="B1072" i="1"/>
  <c r="B1069" i="1"/>
  <c r="B1068" i="1"/>
  <c r="B1067" i="1"/>
  <c r="B1066" i="1"/>
  <c r="B1064" i="1"/>
  <c r="B2586" i="1" s="1"/>
  <c r="B1205" i="1" s="1"/>
  <c r="B1209" i="1" s="1"/>
  <c r="B1062" i="1"/>
  <c r="B1061" i="1"/>
  <c r="B1060" i="1"/>
  <c r="B1058" i="1"/>
  <c r="B1057" i="1"/>
  <c r="B1056" i="1"/>
  <c r="B1170" i="1" s="1"/>
  <c r="B1052" i="1"/>
  <c r="B264" i="1" s="1"/>
  <c r="B1051" i="1"/>
  <c r="B1049" i="1"/>
  <c r="B1047" i="1"/>
  <c r="B1040" i="1"/>
  <c r="B1039" i="1"/>
  <c r="B1037" i="1"/>
  <c r="B1036" i="1"/>
  <c r="B1283" i="1" s="1"/>
  <c r="B1694" i="1" s="1"/>
  <c r="B1035" i="1"/>
  <c r="B1034" i="1"/>
  <c r="B1033" i="1"/>
  <c r="B1032" i="1"/>
  <c r="B1031" i="1"/>
  <c r="B1030" i="1"/>
  <c r="B1028" i="1"/>
  <c r="B1023" i="1"/>
  <c r="B1334" i="1" s="1"/>
  <c r="B1022" i="1"/>
  <c r="B1020" i="1"/>
  <c r="B1019" i="1"/>
  <c r="B1018" i="1"/>
  <c r="B466" i="1" s="1"/>
  <c r="B1017" i="1"/>
  <c r="B1015" i="1"/>
  <c r="B1013" i="1"/>
  <c r="B1012" i="1"/>
  <c r="B1009" i="1"/>
  <c r="B1008" i="1"/>
  <c r="B1007" i="1"/>
  <c r="B763" i="1" s="1"/>
  <c r="B1006" i="1"/>
  <c r="B1005" i="1"/>
  <c r="B1004" i="1"/>
  <c r="B1003" i="1"/>
  <c r="B1002" i="1"/>
  <c r="B1000" i="1"/>
  <c r="B999" i="1"/>
  <c r="B998" i="1"/>
  <c r="B997" i="1"/>
  <c r="B995" i="1"/>
  <c r="B994" i="1"/>
  <c r="B990" i="1"/>
  <c r="B988" i="1"/>
  <c r="B987" i="1"/>
  <c r="B986" i="1"/>
  <c r="B984" i="1"/>
  <c r="B2601" i="1" s="1"/>
  <c r="B982" i="1"/>
  <c r="B978" i="1"/>
  <c r="B976" i="1"/>
  <c r="B974" i="1"/>
  <c r="B973" i="1"/>
  <c r="B972" i="1"/>
  <c r="B970" i="1"/>
  <c r="B284" i="1" s="1"/>
  <c r="B968" i="1"/>
  <c r="B966" i="1"/>
  <c r="B962" i="1"/>
  <c r="B961" i="1"/>
  <c r="B1155" i="1" s="1"/>
  <c r="B957" i="1"/>
  <c r="B956" i="1"/>
  <c r="B955" i="1"/>
  <c r="B954" i="1"/>
  <c r="B2067" i="1" s="1"/>
  <c r="B2583" i="1" s="1"/>
  <c r="B953" i="1"/>
  <c r="B952" i="1"/>
  <c r="B951" i="1"/>
  <c r="B2602" i="1" s="1"/>
  <c r="B855" i="1" s="1"/>
  <c r="B942" i="1"/>
  <c r="B939" i="1"/>
  <c r="B937" i="1"/>
  <c r="B935" i="1"/>
  <c r="B934" i="1"/>
  <c r="B932" i="1"/>
  <c r="B2039" i="1" s="1"/>
  <c r="B931" i="1"/>
  <c r="B929" i="1"/>
  <c r="B928" i="1"/>
  <c r="B926" i="1"/>
  <c r="B925" i="1"/>
  <c r="B923" i="1"/>
  <c r="B921" i="1"/>
  <c r="B2200" i="1" s="1"/>
  <c r="B2103" i="1" s="1"/>
  <c r="B918" i="1"/>
  <c r="B916" i="1"/>
  <c r="B1688" i="1" s="1"/>
  <c r="B915" i="1"/>
  <c r="B913" i="1"/>
  <c r="B65" i="1" s="1"/>
  <c r="B912" i="1"/>
  <c r="B910" i="1"/>
  <c r="B1668" i="1" s="1"/>
  <c r="B1339" i="1" s="1"/>
  <c r="B908" i="1"/>
  <c r="B906" i="1"/>
  <c r="B979" i="1" s="1"/>
  <c r="B905" i="1"/>
  <c r="B904" i="1"/>
  <c r="B903" i="1"/>
  <c r="B899" i="1"/>
  <c r="B893" i="1"/>
  <c r="B892" i="1"/>
  <c r="B891" i="1"/>
  <c r="B889" i="1"/>
  <c r="B888" i="1"/>
  <c r="B241" i="1" s="1"/>
  <c r="B885" i="1"/>
  <c r="B884" i="1"/>
  <c r="B883" i="1"/>
  <c r="B882" i="1"/>
  <c r="B261" i="1" s="1"/>
  <c r="B880" i="1"/>
  <c r="B879" i="1"/>
  <c r="B878" i="1"/>
  <c r="B1949" i="1" s="1"/>
  <c r="B877" i="1"/>
  <c r="B875" i="1"/>
  <c r="B873" i="1"/>
  <c r="B872" i="1"/>
  <c r="B871" i="1"/>
  <c r="B870" i="1"/>
  <c r="B1461" i="1" s="1"/>
  <c r="B869" i="1"/>
  <c r="B1117" i="1" s="1"/>
  <c r="B1277" i="1" s="1"/>
  <c r="B1159" i="1" s="1"/>
  <c r="B2484" i="1" s="1"/>
  <c r="B868" i="1"/>
  <c r="B866" i="1"/>
  <c r="B864" i="1"/>
  <c r="B863" i="1"/>
  <c r="B862" i="1"/>
  <c r="B861" i="1"/>
  <c r="B860" i="1"/>
  <c r="B856" i="1"/>
  <c r="B853" i="1"/>
  <c r="B851" i="1"/>
  <c r="B850" i="1"/>
  <c r="B848" i="1"/>
  <c r="B846" i="1"/>
  <c r="B845" i="1"/>
  <c r="B844" i="1"/>
  <c r="B843" i="1"/>
  <c r="B1147" i="1" s="1"/>
  <c r="B841" i="1"/>
  <c r="B834" i="1"/>
  <c r="B833" i="1"/>
  <c r="B2617" i="1" s="1"/>
  <c r="B1982" i="1" s="1"/>
  <c r="B1352" i="1" s="1"/>
  <c r="B827" i="1"/>
  <c r="B826" i="1"/>
  <c r="B191" i="1" s="1"/>
  <c r="B825" i="1"/>
  <c r="B823" i="1"/>
  <c r="B822" i="1"/>
  <c r="B821" i="1"/>
  <c r="B815" i="1"/>
  <c r="B814" i="1"/>
  <c r="B813" i="1"/>
  <c r="B812" i="1"/>
  <c r="B809" i="1"/>
  <c r="B808" i="1"/>
  <c r="B805" i="1"/>
  <c r="B803" i="1"/>
  <c r="B2543" i="1" s="1"/>
  <c r="B801" i="1"/>
  <c r="B800" i="1"/>
  <c r="B799" i="1"/>
  <c r="B798" i="1"/>
  <c r="B2020" i="1" s="1"/>
  <c r="B797" i="1"/>
  <c r="B426" i="1" s="1"/>
  <c r="B287" i="1" s="1"/>
  <c r="B795" i="1"/>
  <c r="B782" i="1" s="1"/>
  <c r="B793" i="1"/>
  <c r="B817" i="1" s="1"/>
  <c r="B1112" i="1" s="1"/>
  <c r="B1582" i="1" s="1"/>
  <c r="B427" i="1" s="1"/>
  <c r="B1213" i="1" s="1"/>
  <c r="B220" i="1" s="1"/>
  <c r="B621" i="1" s="1"/>
  <c r="B2504" i="1" s="1"/>
  <c r="B791" i="1"/>
  <c r="B789" i="1"/>
  <c r="B786" i="1"/>
  <c r="B785" i="1"/>
  <c r="B2480" i="1" s="1"/>
  <c r="B784" i="1"/>
  <c r="B783" i="1"/>
  <c r="B779" i="1"/>
  <c r="B778" i="1"/>
  <c r="B776" i="1"/>
  <c r="B775" i="1"/>
  <c r="B282" i="1" s="1"/>
  <c r="B774" i="1"/>
  <c r="B2390" i="1" s="1"/>
  <c r="B773" i="1"/>
  <c r="B772" i="1"/>
  <c r="B771" i="1"/>
  <c r="B849" i="1" s="1"/>
  <c r="B770" i="1"/>
  <c r="B769" i="1"/>
  <c r="B768" i="1"/>
  <c r="B766" i="1"/>
  <c r="B765" i="1"/>
  <c r="B762" i="1"/>
  <c r="B761" i="1"/>
  <c r="B760" i="1"/>
  <c r="B757" i="1"/>
  <c r="B755" i="1"/>
  <c r="B753" i="1"/>
  <c r="B749" i="1"/>
  <c r="B745" i="1"/>
  <c r="B743" i="1"/>
  <c r="B741" i="1"/>
  <c r="B740" i="1"/>
  <c r="B738" i="1"/>
  <c r="B737" i="1"/>
  <c r="B735" i="1"/>
  <c r="B294" i="1" s="1"/>
  <c r="B734" i="1"/>
  <c r="B2171" i="1" s="1"/>
  <c r="B732" i="1"/>
  <c r="B731" i="1"/>
  <c r="B2072" i="1" s="1"/>
  <c r="B1089" i="1" s="1"/>
  <c r="B964" i="1" s="1"/>
  <c r="B609" i="1" s="1"/>
  <c r="B2580" i="1" s="1"/>
  <c r="B2251" i="1" s="1"/>
  <c r="B730" i="1"/>
  <c r="B729" i="1"/>
  <c r="B1024" i="1" s="1"/>
  <c r="B397" i="1" s="1"/>
  <c r="B1833" i="1" s="1"/>
  <c r="B727" i="1"/>
  <c r="B724" i="1"/>
  <c r="B723" i="1"/>
  <c r="B721" i="1"/>
  <c r="B720" i="1"/>
  <c r="B719" i="1"/>
  <c r="B717" i="1"/>
  <c r="B715" i="1"/>
  <c r="B712" i="1"/>
  <c r="B711" i="1"/>
  <c r="B710" i="1"/>
  <c r="B708" i="1"/>
  <c r="B706" i="1"/>
  <c r="B705" i="1"/>
  <c r="B704" i="1"/>
  <c r="B2062" i="1" s="1"/>
  <c r="B703" i="1"/>
  <c r="B701" i="1"/>
  <c r="B700" i="1"/>
  <c r="B697" i="1"/>
  <c r="B958" i="1" s="1"/>
  <c r="B696" i="1"/>
  <c r="B1861" i="1" s="1"/>
  <c r="B520" i="1" s="1"/>
  <c r="B695" i="1"/>
  <c r="B692" i="1"/>
  <c r="B920" i="1" s="1"/>
  <c r="B722" i="1" s="1"/>
  <c r="B690" i="1"/>
  <c r="B687" i="1"/>
  <c r="B686" i="1"/>
  <c r="B682" i="1"/>
  <c r="B674" i="1"/>
  <c r="B1198" i="1" s="1"/>
  <c r="B671" i="1"/>
  <c r="B669" i="1"/>
  <c r="B668" i="1"/>
  <c r="B180" i="1" s="1"/>
  <c r="B666" i="1"/>
  <c r="B665" i="1"/>
  <c r="B664" i="1"/>
  <c r="B663" i="1"/>
  <c r="B661" i="1"/>
  <c r="B660" i="1"/>
  <c r="B613" i="1" s="1"/>
  <c r="B659" i="1"/>
  <c r="B658" i="1"/>
  <c r="B959" i="1" s="1"/>
  <c r="B656" i="1"/>
  <c r="B655" i="1"/>
  <c r="B654" i="1"/>
  <c r="B652" i="1"/>
  <c r="B672" i="1" s="1"/>
  <c r="B651" i="1"/>
  <c r="B650" i="1"/>
  <c r="B2630" i="1" s="1"/>
  <c r="B649" i="1"/>
  <c r="B645" i="1"/>
  <c r="B644" i="1"/>
  <c r="B643" i="1"/>
  <c r="B641" i="1"/>
  <c r="B640" i="1"/>
  <c r="B638" i="1"/>
  <c r="B634" i="1"/>
  <c r="B2409" i="1" s="1"/>
  <c r="B632" i="1"/>
  <c r="B631" i="1"/>
  <c r="B630" i="1"/>
  <c r="B629" i="1"/>
  <c r="B1800" i="1" s="1"/>
  <c r="B2203" i="1" s="1"/>
  <c r="B627" i="1"/>
  <c r="B626" i="1"/>
  <c r="B623" i="1"/>
  <c r="B622" i="1"/>
  <c r="B617" i="1"/>
  <c r="B476" i="1" s="1"/>
  <c r="B816" i="1" s="1"/>
  <c r="B616" i="1"/>
  <c r="B2168" i="1" s="1"/>
  <c r="B615" i="1"/>
  <c r="B614" i="1"/>
  <c r="B612" i="1"/>
  <c r="B806" i="1" s="1"/>
  <c r="B606" i="1" s="1"/>
  <c r="B611" i="1"/>
  <c r="B610" i="1"/>
  <c r="B2646" i="1" s="1"/>
  <c r="B1855" i="1" s="1"/>
  <c r="B1733" i="1" s="1"/>
  <c r="B2153" i="1" s="1"/>
  <c r="B1474" i="1" s="1"/>
  <c r="B607" i="1"/>
  <c r="B604" i="1"/>
  <c r="B602" i="1"/>
  <c r="B601" i="1"/>
  <c r="B635" i="1" s="1"/>
  <c r="B599" i="1"/>
  <c r="B596" i="1"/>
  <c r="B595" i="1"/>
  <c r="B593" i="1"/>
  <c r="B592" i="1"/>
  <c r="B646" i="1" s="1"/>
  <c r="B1457" i="1" s="1"/>
  <c r="B1467" i="1" s="1"/>
  <c r="B588" i="1"/>
  <c r="B587" i="1"/>
  <c r="B585" i="1"/>
  <c r="B583" i="1"/>
  <c r="B582" i="1"/>
  <c r="B1909" i="1" s="1"/>
  <c r="B581" i="1"/>
  <c r="B580" i="1"/>
  <c r="B684" i="1" s="1"/>
  <c r="B579" i="1"/>
  <c r="B576" i="1"/>
  <c r="B573" i="1"/>
  <c r="B2388" i="1" s="1"/>
  <c r="B572" i="1"/>
  <c r="B380" i="1" s="1"/>
  <c r="B344" i="1" s="1"/>
  <c r="B1930" i="1" s="1"/>
  <c r="B38" i="1" s="1"/>
  <c r="B1943" i="1" s="1"/>
  <c r="B530" i="1" s="1"/>
  <c r="B571" i="1"/>
  <c r="B569" i="1"/>
  <c r="B568" i="1"/>
  <c r="B1726" i="1" s="1"/>
  <c r="B567" i="1"/>
  <c r="B566" i="1"/>
  <c r="B562" i="1"/>
  <c r="B561" i="1"/>
  <c r="B559" i="1"/>
  <c r="B288" i="1" s="1"/>
  <c r="B556" i="1"/>
  <c r="B555" i="1"/>
  <c r="B554" i="1"/>
  <c r="B551" i="1"/>
  <c r="B550" i="1"/>
  <c r="B549" i="1"/>
  <c r="B548" i="1"/>
  <c r="B547" i="1"/>
  <c r="B546" i="1"/>
  <c r="B545" i="1"/>
  <c r="B1737" i="1" s="1"/>
  <c r="B542" i="1"/>
  <c r="B541" i="1"/>
  <c r="B539" i="1"/>
  <c r="B1976" i="1" s="1"/>
  <c r="B2450" i="1" s="1"/>
  <c r="B154" i="1" s="1"/>
  <c r="B537" i="1"/>
  <c r="B2254" i="1" s="1"/>
  <c r="B2068" i="1" s="1"/>
  <c r="B533" i="1"/>
  <c r="B532" i="1"/>
  <c r="B531" i="1"/>
  <c r="B529" i="1"/>
  <c r="B528" i="1"/>
  <c r="B526" i="1"/>
  <c r="B524" i="1"/>
  <c r="B1874" i="1" s="1"/>
  <c r="B2349" i="1" s="1"/>
  <c r="B1683" i="1" s="1"/>
  <c r="B2216" i="1" s="1"/>
  <c r="B1391" i="1" s="1"/>
  <c r="B523" i="1"/>
  <c r="B673" i="1" s="1"/>
  <c r="B521" i="1"/>
  <c r="B518" i="1"/>
  <c r="B517" i="1"/>
  <c r="B515" i="1"/>
  <c r="B1127" i="1" s="1"/>
  <c r="B514" i="1"/>
  <c r="B512" i="1"/>
  <c r="B511" i="1"/>
  <c r="B510" i="1"/>
  <c r="B509" i="1"/>
  <c r="B508" i="1"/>
  <c r="B2389" i="1" s="1"/>
  <c r="B507" i="1"/>
  <c r="B506" i="1"/>
  <c r="B504" i="1"/>
  <c r="B1190" i="1" s="1"/>
  <c r="B502" i="1"/>
  <c r="B500" i="1"/>
  <c r="B499" i="1"/>
  <c r="B1302" i="1" s="1"/>
  <c r="B498" i="1"/>
  <c r="B497" i="1"/>
  <c r="B496" i="1"/>
  <c r="B685" i="1" s="1"/>
  <c r="B2374" i="1" s="1"/>
  <c r="B1846" i="1" s="1"/>
  <c r="B495" i="1"/>
  <c r="B494" i="1"/>
  <c r="B1138" i="1" s="1"/>
  <c r="B493" i="1"/>
  <c r="B491" i="1"/>
  <c r="B490" i="1"/>
  <c r="B1908" i="1" s="1"/>
  <c r="B78" i="1" s="1"/>
  <c r="B2282" i="1" s="1"/>
  <c r="B489" i="1"/>
  <c r="B488" i="1"/>
  <c r="B487" i="1"/>
  <c r="B2298" i="1" s="1"/>
  <c r="B485" i="1"/>
  <c r="B483" i="1"/>
  <c r="B480" i="1"/>
  <c r="B471" i="1"/>
  <c r="B470" i="1"/>
  <c r="B950" i="1" s="1"/>
  <c r="B469" i="1"/>
  <c r="B468" i="1"/>
  <c r="B1727" i="1" s="1"/>
  <c r="B985" i="1" s="1"/>
  <c r="B467" i="1"/>
  <c r="B465" i="1"/>
  <c r="B463" i="1"/>
  <c r="B462" i="1"/>
  <c r="B2491" i="1" s="1"/>
  <c r="B460" i="1"/>
  <c r="B458" i="1"/>
  <c r="B2448" i="1" s="1"/>
  <c r="B457" i="1"/>
  <c r="B456" i="1"/>
  <c r="B454" i="1"/>
  <c r="B1895" i="1" s="1"/>
  <c r="B452" i="1"/>
  <c r="B2296" i="1" s="1"/>
  <c r="B1169" i="1" s="1"/>
  <c r="B451" i="1"/>
  <c r="B2426" i="1" s="1"/>
  <c r="B1293" i="1" s="1"/>
  <c r="B7" i="1" s="1"/>
  <c r="B450" i="1"/>
  <c r="B449" i="1"/>
  <c r="B448" i="1"/>
  <c r="B447" i="1"/>
  <c r="B1071" i="1" s="1"/>
  <c r="B1890" i="1" s="1"/>
  <c r="B446" i="1"/>
  <c r="B445" i="1"/>
  <c r="B444" i="1"/>
  <c r="B442" i="1"/>
  <c r="B1176" i="1" s="1"/>
  <c r="B439" i="1"/>
  <c r="B436" i="1"/>
  <c r="B363" i="1" s="1"/>
  <c r="B435" i="1"/>
  <c r="B431" i="1"/>
  <c r="B429" i="1"/>
  <c r="B428" i="1"/>
  <c r="B80" i="1" s="1"/>
  <c r="B1715" i="1" s="1"/>
  <c r="B425" i="1"/>
  <c r="B1353" i="1" s="1"/>
  <c r="B2163" i="1" s="1"/>
  <c r="B424" i="1"/>
  <c r="B423" i="1"/>
  <c r="B422" i="1"/>
  <c r="B416" i="1"/>
  <c r="B415" i="1"/>
  <c r="B2125" i="1" s="1"/>
  <c r="B413" i="1"/>
  <c r="B411" i="1"/>
  <c r="B410" i="1"/>
  <c r="B409" i="1"/>
  <c r="B758" i="1" s="1"/>
  <c r="B408" i="1"/>
  <c r="B407" i="1"/>
  <c r="B406" i="1"/>
  <c r="B405" i="1"/>
  <c r="B2637" i="1" s="1"/>
  <c r="B403" i="1"/>
  <c r="B402" i="1"/>
  <c r="B174" i="1" s="1"/>
  <c r="B401" i="1"/>
  <c r="B394" i="1"/>
  <c r="B1396" i="1" s="1"/>
  <c r="B115" i="1" s="1"/>
  <c r="B1044" i="1" s="1"/>
  <c r="B391" i="1"/>
  <c r="B390" i="1"/>
  <c r="B386" i="1"/>
  <c r="B1569" i="1" s="1"/>
  <c r="B385" i="1"/>
  <c r="B1802" i="1" s="1"/>
  <c r="B384" i="1"/>
  <c r="B383" i="1"/>
  <c r="B382" i="1"/>
  <c r="B381" i="1"/>
  <c r="B379" i="1"/>
  <c r="B377" i="1"/>
  <c r="B375" i="1"/>
  <c r="B374" i="1"/>
  <c r="B2528" i="1" s="1"/>
  <c r="B373" i="1"/>
  <c r="B372" i="1"/>
  <c r="B371" i="1"/>
  <c r="B2335" i="1" s="1"/>
  <c r="B370" i="1"/>
  <c r="B1516" i="1" s="1"/>
  <c r="B1591" i="1" s="1"/>
  <c r="B369" i="1"/>
  <c r="B527" i="1" s="1"/>
  <c r="B368" i="1"/>
  <c r="B909" i="1" s="1"/>
  <c r="B367" i="1"/>
  <c r="B366" i="1"/>
  <c r="B365" i="1"/>
  <c r="B364" i="1"/>
  <c r="B362" i="1"/>
  <c r="B359" i="1"/>
  <c r="B358" i="1"/>
  <c r="B356" i="1"/>
  <c r="B1704" i="1" s="1"/>
  <c r="B2346" i="1" s="1"/>
  <c r="B355" i="1"/>
  <c r="B354" i="1"/>
  <c r="B353" i="1"/>
  <c r="B351" i="1"/>
  <c r="B2419" i="1" s="1"/>
  <c r="B349" i="1"/>
  <c r="B348" i="1"/>
  <c r="B345" i="1"/>
  <c r="B343" i="1"/>
  <c r="B342" i="1"/>
  <c r="B340" i="1"/>
  <c r="B339" i="1"/>
  <c r="B337" i="1"/>
  <c r="B1940" i="1" s="1"/>
  <c r="B1550" i="1" s="1"/>
  <c r="B333" i="1"/>
  <c r="B2502" i="1" s="1"/>
  <c r="B2245" i="1" s="1"/>
  <c r="B2616" i="1" s="1"/>
  <c r="B2634" i="1" s="1"/>
  <c r="B331" i="1"/>
  <c r="B329" i="1"/>
  <c r="B246" i="1" s="1"/>
  <c r="B260" i="1" s="1"/>
  <c r="B1208" i="1" s="1"/>
  <c r="B420" i="1" s="1"/>
  <c r="B1863" i="1" s="1"/>
  <c r="B327" i="1"/>
  <c r="B326" i="1"/>
  <c r="B325" i="1"/>
  <c r="B1899" i="1" s="1"/>
  <c r="B113" i="1" s="1"/>
  <c r="B1450" i="1" s="1"/>
  <c r="B2126" i="1" s="1"/>
  <c r="B1906" i="1" s="1"/>
  <c r="B3" i="1" s="1"/>
  <c r="B1174" i="1" s="1"/>
  <c r="B324" i="1"/>
  <c r="B1403" i="1" s="1"/>
  <c r="B323" i="1"/>
  <c r="B322" i="1"/>
  <c r="B321" i="1"/>
  <c r="B1252" i="1" s="1"/>
  <c r="B320" i="1"/>
  <c r="B319" i="1"/>
  <c r="B315" i="1"/>
  <c r="B312" i="1"/>
  <c r="B311" i="1"/>
  <c r="B1871" i="1" s="1"/>
  <c r="B298" i="1" s="1"/>
  <c r="B310" i="1"/>
  <c r="B309" i="1"/>
  <c r="B308" i="1"/>
  <c r="B2046" i="1" s="1"/>
  <c r="B305" i="1"/>
  <c r="B2212" i="1" s="1"/>
  <c r="B2003" i="1" s="1"/>
  <c r="B304" i="1"/>
  <c r="B301" i="1"/>
  <c r="B1398" i="1" s="1"/>
  <c r="B299" i="1"/>
  <c r="B297" i="1"/>
  <c r="B296" i="1"/>
  <c r="B393" i="1" s="1"/>
  <c r="B1815" i="1" s="1"/>
  <c r="B295" i="1"/>
  <c r="B293" i="1"/>
  <c r="B1" i="1" s="1"/>
  <c r="B1468" i="1" s="1"/>
  <c r="B292" i="1"/>
  <c r="B1269" i="1" s="1"/>
  <c r="B289" i="1"/>
  <c r="B285" i="1"/>
  <c r="B278" i="1"/>
  <c r="B276" i="1"/>
  <c r="B275" i="1"/>
  <c r="B274" i="1"/>
  <c r="B752" i="1" s="1"/>
  <c r="B1980" i="1" s="1"/>
  <c r="B437" i="1" s="1"/>
  <c r="B273" i="1"/>
  <c r="B271" i="1"/>
  <c r="B270" i="1"/>
  <c r="B269" i="1"/>
  <c r="B268" i="1"/>
  <c r="B266" i="1"/>
  <c r="B265" i="1"/>
  <c r="B263" i="1"/>
  <c r="B262" i="1"/>
  <c r="B258" i="1"/>
  <c r="B2231" i="1" s="1"/>
  <c r="B255" i="1"/>
  <c r="B254" i="1"/>
  <c r="B252" i="1"/>
  <c r="B251" i="1"/>
  <c r="B249" i="1"/>
  <c r="B247" i="1"/>
  <c r="B244" i="1"/>
  <c r="B525" i="1" s="1"/>
  <c r="B26" i="1" s="1"/>
  <c r="B9" i="1" s="1"/>
  <c r="B238" i="1"/>
  <c r="B237" i="1"/>
  <c r="B159" i="1" s="1"/>
  <c r="B236" i="1"/>
  <c r="B234" i="1"/>
  <c r="B233" i="1"/>
  <c r="B232" i="1"/>
  <c r="B231" i="1"/>
  <c r="B1558" i="1" s="1"/>
  <c r="B230" i="1"/>
  <c r="B229" i="1"/>
  <c r="B227" i="1"/>
  <c r="B226" i="1"/>
  <c r="B225" i="1"/>
  <c r="B222" i="1"/>
  <c r="B2341" i="1" s="1"/>
  <c r="B1816" i="1" s="1"/>
  <c r="B221" i="1"/>
  <c r="B218" i="1"/>
  <c r="B1402" i="1" s="1"/>
  <c r="B792" i="1" s="1"/>
  <c r="B1639" i="1" s="1"/>
  <c r="B417" i="1" s="1"/>
  <c r="B217" i="1"/>
  <c r="B2179" i="1" s="1"/>
  <c r="B179" i="1" s="1"/>
  <c r="B874" i="1" s="1"/>
  <c r="B2035" i="1" s="1"/>
  <c r="B216" i="1"/>
  <c r="B505" i="1" s="1"/>
  <c r="B215" i="1"/>
  <c r="B213" i="1"/>
  <c r="B211" i="1"/>
  <c r="B210" i="1"/>
  <c r="B209" i="1"/>
  <c r="B208" i="1"/>
  <c r="B207" i="1"/>
  <c r="B2395" i="1" s="1"/>
  <c r="B206" i="1"/>
  <c r="B205" i="1"/>
  <c r="B204" i="1"/>
  <c r="B202" i="1"/>
  <c r="B200" i="1"/>
  <c r="B199" i="1"/>
  <c r="B2071" i="1" s="1"/>
  <c r="B198" i="1"/>
  <c r="B197" i="1"/>
  <c r="B196" i="1"/>
  <c r="B189" i="1"/>
  <c r="B187" i="1"/>
  <c r="B185" i="1"/>
  <c r="B184" i="1"/>
  <c r="B181" i="1"/>
  <c r="B2183" i="1" s="1"/>
  <c r="B201" i="1" s="1"/>
  <c r="B178" i="1"/>
  <c r="B1085" i="1" s="1"/>
  <c r="B286" i="1" s="1"/>
  <c r="B620" i="1" s="1"/>
  <c r="B2031" i="1" s="1"/>
  <c r="B177" i="1"/>
  <c r="B175" i="1"/>
  <c r="B172" i="1"/>
  <c r="B352" i="1" s="1"/>
  <c r="B1658" i="1" s="1"/>
  <c r="B171" i="1"/>
  <c r="B170" i="1"/>
  <c r="B867" i="1" s="1"/>
  <c r="B1361" i="1" s="1"/>
  <c r="B169" i="1"/>
  <c r="B168" i="1"/>
  <c r="B167" i="1"/>
  <c r="B2101" i="1" s="1"/>
  <c r="B2357" i="1" s="1"/>
  <c r="B166" i="1"/>
  <c r="B603" i="1" s="1"/>
  <c r="B165" i="1"/>
  <c r="B1709" i="1" s="1"/>
  <c r="B164" i="1"/>
  <c r="B163" i="1"/>
  <c r="B306" i="1" s="1"/>
  <c r="B2672" i="1" s="1"/>
  <c r="B162" i="1"/>
  <c r="B160" i="1"/>
  <c r="B158" i="1"/>
  <c r="B1228" i="1" s="1"/>
  <c r="B1748" i="1" s="1"/>
  <c r="B1114" i="1" s="1"/>
  <c r="B156" i="1"/>
  <c r="B149" i="1"/>
  <c r="B148" i="1"/>
  <c r="B146" i="1"/>
  <c r="B144" i="1"/>
  <c r="B142" i="1"/>
  <c r="B141" i="1"/>
  <c r="B140" i="1"/>
  <c r="B139" i="1"/>
  <c r="B2130" i="1" s="1"/>
  <c r="B138" i="1"/>
  <c r="B137" i="1"/>
  <c r="B136" i="1"/>
  <c r="B1687" i="1" s="1"/>
  <c r="B133" i="1"/>
  <c r="B1424" i="1" s="1"/>
  <c r="B131" i="1"/>
  <c r="B130" i="1"/>
  <c r="B129" i="1"/>
  <c r="B128" i="1"/>
  <c r="B127" i="1"/>
  <c r="B126" i="1"/>
  <c r="B124" i="1"/>
  <c r="B2162" i="1" s="1"/>
  <c r="B1834" i="1" s="1"/>
  <c r="B123" i="1"/>
  <c r="B122" i="1"/>
  <c r="B121" i="1"/>
  <c r="B119" i="1"/>
  <c r="B118" i="1"/>
  <c r="B1896" i="1" s="1"/>
  <c r="B117" i="1"/>
  <c r="B114" i="1"/>
  <c r="B112" i="1"/>
  <c r="B111" i="1"/>
  <c r="B108" i="1"/>
  <c r="B107" i="1"/>
  <c r="B104" i="1"/>
  <c r="B102" i="1"/>
  <c r="B101" i="1"/>
  <c r="B1597" i="1" s="1"/>
  <c r="B99" i="1"/>
  <c r="B97" i="1"/>
  <c r="B1383" i="1" s="1"/>
  <c r="B95" i="1"/>
  <c r="B2127" i="1" s="1"/>
  <c r="B628" i="1" s="1"/>
  <c r="B94" i="1"/>
  <c r="B2382" i="1" s="1"/>
  <c r="B996" i="1" s="1"/>
  <c r="B92" i="1"/>
  <c r="B318" i="1" s="1"/>
  <c r="B91" i="1"/>
  <c r="B90" i="1"/>
  <c r="B2535" i="1" s="1"/>
  <c r="B88" i="1"/>
  <c r="B2387" i="1" s="1"/>
  <c r="B87" i="1"/>
  <c r="B86" i="1"/>
  <c r="B85" i="1"/>
  <c r="B83" i="1"/>
  <c r="B2321" i="1" s="1"/>
  <c r="B81" i="1"/>
  <c r="B79" i="1"/>
  <c r="B74" i="1"/>
  <c r="B72" i="1"/>
  <c r="B71" i="1"/>
  <c r="B70" i="1"/>
  <c r="B69" i="1"/>
  <c r="B68" i="1"/>
  <c r="B66" i="1"/>
  <c r="B64" i="1"/>
  <c r="B62" i="1"/>
  <c r="B2247" i="1" s="1"/>
  <c r="B61" i="1"/>
  <c r="B59" i="1"/>
  <c r="B2436" i="1" s="1"/>
  <c r="B58" i="1"/>
  <c r="B57" i="1"/>
  <c r="B55" i="1"/>
  <c r="B77" i="1" s="1"/>
  <c r="B54" i="1"/>
  <c r="B53" i="1"/>
  <c r="B51" i="1"/>
  <c r="B50" i="1"/>
  <c r="B742" i="1" s="1"/>
  <c r="B484" i="1" s="1"/>
  <c r="B1121" i="1" s="1"/>
  <c r="B441" i="1" s="1"/>
  <c r="B1431" i="1" s="1"/>
  <c r="B49" i="1"/>
  <c r="B2345" i="1" s="1"/>
  <c r="B56" i="1" s="1"/>
  <c r="B47" i="1"/>
  <c r="B45" i="1"/>
  <c r="B43" i="1"/>
  <c r="B42" i="1"/>
  <c r="B39" i="1"/>
  <c r="B36" i="1"/>
  <c r="B35" i="1"/>
  <c r="B33" i="1"/>
  <c r="B32" i="1"/>
  <c r="B31" i="1"/>
  <c r="B2696" i="1" s="1"/>
  <c r="B2515" i="1" s="1"/>
  <c r="B30" i="1"/>
  <c r="B28" i="1"/>
  <c r="B2170" i="1" s="1"/>
  <c r="B27" i="1"/>
  <c r="B1158" i="1" s="1"/>
  <c r="B1628" i="1" s="1"/>
  <c r="B23" i="1"/>
  <c r="B22" i="1"/>
  <c r="B21" i="1"/>
  <c r="B20" i="1"/>
  <c r="B18" i="1"/>
  <c r="B17" i="1"/>
  <c r="B764" i="1" s="1"/>
  <c r="B1719" i="1" s="1"/>
  <c r="B1054" i="1" s="1"/>
  <c r="B16" i="1"/>
  <c r="B15" i="1"/>
  <c r="B14" i="1"/>
  <c r="B106" i="1" s="1"/>
  <c r="B13" i="1"/>
  <c r="B10" i="1"/>
  <c r="B8" i="1"/>
  <c r="B6" i="1"/>
  <c r="B5" i="1"/>
  <c r="B2" i="1"/>
  <c r="B1860" i="1" l="1"/>
  <c r="B1333" i="1"/>
  <c r="B1202" i="1"/>
  <c r="B1105" i="1"/>
  <c r="B2043" i="1"/>
  <c r="B1151" i="1" s="1"/>
  <c r="B2333" i="1" s="1"/>
  <c r="B24" i="1" s="1"/>
  <c r="B2573" i="1"/>
  <c r="B847" i="1" s="1"/>
  <c r="B2457" i="1" s="1"/>
  <c r="B2513" i="1"/>
  <c r="B2275" i="1" s="1"/>
  <c r="B2652" i="1" s="1"/>
  <c r="B1606" i="1"/>
  <c r="B2347" i="1" s="1"/>
  <c r="B418" i="1" s="1"/>
  <c r="B1385" i="1" s="1"/>
  <c r="B330" i="1" s="1"/>
  <c r="B239" i="1"/>
  <c r="B819" i="1" s="1"/>
  <c r="B1842" i="1" s="1"/>
  <c r="B1223" i="1"/>
  <c r="B2595" i="1"/>
  <c r="B1813" i="1" s="1"/>
  <c r="B2111" i="1"/>
  <c r="B1946" i="1"/>
  <c r="B1077" i="1"/>
  <c r="B1543" i="1" s="1"/>
  <c r="B1997" i="1" s="1"/>
  <c r="B2018" i="1"/>
  <c r="B472" i="1"/>
  <c r="B1506" i="1"/>
  <c r="B1140" i="1" s="1"/>
  <c r="B82" i="1"/>
  <c r="B2273" i="1" s="1"/>
  <c r="B780" i="1" s="1"/>
  <c r="B829" i="1" s="1"/>
  <c r="B313" i="1" s="1"/>
  <c r="B922" i="1" s="1"/>
  <c r="B1278" i="1" s="1"/>
  <c r="B586" i="1"/>
  <c r="B2189" i="1"/>
  <c r="B1746" i="1" s="1"/>
  <c r="B2555" i="1"/>
  <c r="B1990" i="1" s="1"/>
  <c r="B1189" i="1"/>
  <c r="B2454" i="1" s="1"/>
  <c r="B1368" i="1" s="1"/>
  <c r="B1132" i="1" s="1"/>
  <c r="B360" i="1" s="1"/>
  <c r="B1983" i="1" s="1"/>
  <c r="B2016" i="1" s="1"/>
  <c r="B2110" i="1" s="1"/>
  <c r="B89" i="1" s="1"/>
  <c r="B1272" i="1" s="1"/>
  <c r="B1242" i="1" s="1"/>
  <c r="B1950" i="1" s="1"/>
  <c r="B1234" i="1" s="1"/>
  <c r="B1505" i="1"/>
  <c r="B1680" i="1" s="1"/>
  <c r="B1545" i="1"/>
  <c r="B1355" i="1"/>
  <c r="B662" i="1" s="1"/>
  <c r="B2685" i="1"/>
  <c r="B253" i="1"/>
  <c r="B1916" i="1" s="1"/>
  <c r="B433" i="1" s="1"/>
  <c r="B103" i="1" s="1"/>
  <c r="B2249" i="1" s="1"/>
  <c r="B387" i="1" s="1"/>
  <c r="B2542" i="1" s="1"/>
  <c r="B1220" i="1" s="1"/>
  <c r="B281" i="1" s="1"/>
  <c r="B2233" i="1"/>
  <c r="B2615" i="1"/>
  <c r="B2181" i="1" s="1"/>
  <c r="B1541" i="1" s="1"/>
  <c r="B2422" i="1"/>
  <c r="B481" i="1"/>
  <c r="B2538" i="1" s="1"/>
  <c r="B2687" i="1"/>
  <c r="B1295" i="1" s="1"/>
  <c r="B303" i="1" s="1"/>
  <c r="B2326" i="1" s="1"/>
  <c r="B2094" i="1" s="1"/>
  <c r="B1998" i="1" s="1"/>
  <c r="B2139" i="1"/>
  <c r="B224" i="1" s="1"/>
  <c r="B2640" i="1"/>
  <c r="B1592" i="1"/>
  <c r="B1972" i="1" s="1"/>
  <c r="B726" i="1" s="1"/>
  <c r="B1518" i="1" s="1"/>
  <c r="B109" i="1" s="1"/>
  <c r="B1953" i="1"/>
  <c r="B283" i="1" s="1"/>
  <c r="B965" i="1" s="1"/>
  <c r="B461" i="1" s="1"/>
  <c r="B981" i="1"/>
  <c r="B2240" i="1" s="1"/>
  <c r="B501" i="1" s="1"/>
  <c r="B455" i="1" s="1"/>
  <c r="B2613" i="1" s="1"/>
  <c r="B212" i="1" s="1"/>
  <c r="B2571" i="1"/>
  <c r="B2288" i="1" s="1"/>
  <c r="B796" i="1" s="1"/>
  <c r="B2169" i="1" s="1"/>
  <c r="B1585" i="1" s="1"/>
  <c r="B2517" i="1"/>
  <c r="B2134" i="1" s="1"/>
  <c r="B736" i="1" s="1"/>
  <c r="B1330" i="1"/>
  <c r="B1758" i="1" s="1"/>
  <c r="B73" i="1"/>
  <c r="B419" i="1"/>
  <c r="B590" i="1" s="1"/>
  <c r="B2440" i="1" s="1"/>
  <c r="B1926" i="1"/>
  <c r="B577" i="1" s="1"/>
  <c r="B157" i="1" s="1"/>
  <c r="B2093" i="1"/>
  <c r="B1250" i="1" s="1"/>
  <c r="B1610" i="1" s="1"/>
  <c r="B1995" i="1" s="1"/>
  <c r="B186" i="1" s="1"/>
  <c r="B1344" i="1" s="1"/>
  <c r="B946" i="1" s="1"/>
  <c r="B1757" i="1" s="1"/>
  <c r="B1790" i="1"/>
  <c r="B2308" i="1" s="1"/>
  <c r="B161" i="1" s="1"/>
  <c r="B125" i="1" s="1"/>
  <c r="B2019" i="1" s="1"/>
  <c r="B1525" i="1"/>
  <c r="B2026" i="1"/>
  <c r="B2109" i="1"/>
  <c r="B896" i="1" s="1"/>
  <c r="B648" i="1"/>
  <c r="B1947" i="1" s="1"/>
  <c r="B29" i="1" s="1"/>
  <c r="B828" i="1" s="1"/>
  <c r="B1046" i="1" s="1"/>
  <c r="B392" i="1"/>
  <c r="B1893" i="1" s="1"/>
  <c r="B96" i="1"/>
  <c r="B2423" i="1" s="1"/>
  <c r="B2666" i="1" s="1"/>
  <c r="B150" i="1" s="1"/>
  <c r="B519" i="1" s="1"/>
  <c r="B1824" i="1" s="1"/>
  <c r="B1266" i="1"/>
  <c r="B1630" i="1" s="1"/>
  <c r="B1840" i="1"/>
  <c r="B143" i="1"/>
  <c r="B1222" i="1" s="1"/>
  <c r="B12" i="1"/>
  <c r="B2173" i="1" s="1"/>
  <c r="B746" i="1"/>
  <c r="B1314" i="1" s="1"/>
  <c r="B683" i="1" s="1"/>
  <c r="B332" i="1" s="1"/>
  <c r="B478" i="1" s="1"/>
  <c r="B1701" i="1" s="1"/>
  <c r="B750" i="1" s="1"/>
  <c r="B1866" i="1"/>
  <c r="B2561" i="1"/>
  <c r="B1894" i="1" s="1"/>
  <c r="B543" i="1"/>
  <c r="B2238" i="1"/>
  <c r="B1043" i="1"/>
  <c r="B859" i="1" s="1"/>
  <c r="B2305" i="1" s="1"/>
  <c r="B2284" i="1" s="1"/>
  <c r="B194" i="1"/>
  <c r="B578" i="1" s="1"/>
  <c r="B2037" i="1" s="1"/>
  <c r="B698" i="1" s="1"/>
  <c r="B1377" i="1"/>
  <c r="B2386" i="1" s="1"/>
  <c r="B2112" i="1"/>
  <c r="B788" i="1" s="1"/>
  <c r="B2564" i="1"/>
  <c r="B151" i="1" s="1"/>
  <c r="B2479" i="1" s="1"/>
  <c r="B2255" i="1" s="1"/>
  <c r="B598" i="1" s="1"/>
  <c r="B924" i="1" s="1"/>
  <c r="B538" i="1" s="1"/>
  <c r="B2309" i="1" s="1"/>
  <c r="B836" i="1" s="1"/>
  <c r="B2295" i="1"/>
  <c r="B865" i="1" s="1"/>
  <c r="B618" i="1"/>
  <c r="B1671" i="1" s="1"/>
  <c r="B824" i="1"/>
  <c r="B756" i="1" s="1"/>
  <c r="B1327" i="1" s="1"/>
  <c r="B1944" i="1"/>
  <c r="B1651" i="1"/>
  <c r="B2397" i="1" s="1"/>
  <c r="B1476" i="1" s="1"/>
  <c r="B1379" i="1" s="1"/>
  <c r="B1827" i="1" s="1"/>
  <c r="B2246" i="1"/>
  <c r="B1430" i="1" s="1"/>
  <c r="B93" i="1" s="1"/>
  <c r="B2405" i="1"/>
  <c r="B2122" i="1"/>
  <c r="B2361" i="1" s="1"/>
  <c r="B2598" i="1" s="1"/>
  <c r="B1393" i="1" s="1"/>
  <c r="B2493" i="1"/>
  <c r="B1579" i="1" s="1"/>
  <c r="B688" i="1" s="1"/>
  <c r="B2027" i="1" s="1"/>
  <c r="B1367" i="1"/>
  <c r="B1799" i="1"/>
  <c r="B1698" i="1"/>
  <c r="B1027" i="1" s="1"/>
  <c r="B1179" i="1" s="1"/>
  <c r="B280" i="1" s="1"/>
  <c r="B486" i="1" s="1"/>
  <c r="B1754" i="1"/>
  <c r="B1918" i="1"/>
  <c r="B328" i="1"/>
  <c r="B25" i="1" s="1"/>
  <c r="B1659" i="1" s="1"/>
  <c r="B1128" i="1" s="1"/>
  <c r="B983" i="1" s="1"/>
  <c r="B2143" i="1" s="1"/>
  <c r="B1819" i="1" s="1"/>
  <c r="B1413" i="1" s="1"/>
  <c r="B1552" i="1" s="1"/>
  <c r="B361" i="1" s="1"/>
  <c r="B898" i="1" s="1"/>
  <c r="B110" i="1" s="1"/>
  <c r="B1631" i="1"/>
  <c r="B412" i="1"/>
  <c r="B2393" i="1"/>
  <c r="B1471" i="1"/>
  <c r="B2427" i="1"/>
  <c r="B887" i="1" s="1"/>
  <c r="B1167" i="1" s="1"/>
  <c r="B2489" i="1" s="1"/>
  <c r="B993" i="1" s="1"/>
  <c r="B1192" i="1" s="1"/>
  <c r="B570" i="1" s="1"/>
  <c r="B1822" i="1" s="1"/>
  <c r="B2659" i="1" s="1"/>
  <c r="B936" i="1" s="1"/>
  <c r="B1214" i="1"/>
  <c r="B667" i="1" s="1"/>
  <c r="B1728" i="1" s="1"/>
  <c r="B677" i="1"/>
  <c r="B421" i="1" s="1"/>
  <c r="B914" i="1" s="1"/>
  <c r="B335" i="1" s="1"/>
  <c r="B1892" i="1"/>
  <c r="B1593" i="1" s="1"/>
  <c r="B492" i="1" s="1"/>
  <c r="B2514" i="1"/>
  <c r="B1812" i="1" s="1"/>
  <c r="B1079" i="1" s="1"/>
  <c r="B693" i="1" s="1"/>
  <c r="B1161" i="1" s="1"/>
  <c r="B1968" i="1" s="1"/>
  <c r="B1539" i="1" s="1"/>
  <c r="B267" i="1" s="1"/>
  <c r="B1291" i="1" s="1"/>
  <c r="B2570" i="1" s="1"/>
  <c r="B2592" i="1"/>
  <c r="B404" i="1" s="1"/>
  <c r="B832" i="1" s="1"/>
  <c r="B944" i="1" s="1"/>
  <c r="B1852" i="1" s="1"/>
  <c r="B2446" i="1"/>
  <c r="B1562" i="1" s="1"/>
  <c r="B2172" i="1"/>
  <c r="B835" i="1" s="1"/>
  <c r="B1716" i="1" s="1"/>
  <c r="B453" i="1" s="1"/>
  <c r="B960" i="1" s="1"/>
  <c r="B430" i="1" s="1"/>
  <c r="B540" i="1" s="1"/>
  <c r="B120" i="1" s="1"/>
  <c r="B302" i="1" s="1"/>
  <c r="B1678" i="1" s="1"/>
  <c r="B1380" i="1" s="1"/>
  <c r="B2445" i="1" s="1"/>
  <c r="B1747" i="1"/>
  <c r="B1025" i="1" s="1"/>
  <c r="B2243" i="1" s="1"/>
  <c r="B907" i="1" s="1"/>
  <c r="B1963" i="1" s="1"/>
  <c r="B2002" i="1" s="1"/>
  <c r="B2503" i="1"/>
  <c r="B2679" i="1" s="1"/>
  <c r="B575" i="1" s="1"/>
  <c r="B1345" i="1" s="1"/>
  <c r="B2133" i="1"/>
  <c r="B2433" i="1"/>
  <c r="B1303" i="1" s="1"/>
  <c r="B1859" i="1" s="1"/>
  <c r="B2236" i="1"/>
  <c r="B2193" i="1" s="1"/>
  <c r="B1285" i="1"/>
  <c r="B2105" i="1"/>
  <c r="B37" i="1"/>
  <c r="B2693" i="1"/>
  <c r="B1281" i="1" s="1"/>
  <c r="B2394" i="1" s="1"/>
  <c r="B2553" i="1" s="1"/>
  <c r="B852" i="1" s="1"/>
  <c r="B2106" i="1" s="1"/>
  <c r="B336" i="1" s="1"/>
  <c r="B513" i="1" s="1"/>
  <c r="B1350" i="1" s="1"/>
  <c r="B2638" i="1" s="1"/>
  <c r="B1271" i="1"/>
  <c r="B272" i="1"/>
  <c r="B728" i="1"/>
  <c r="B1912" i="1" s="1"/>
  <c r="B474" i="1" s="1"/>
  <c r="B1439" i="1" s="1"/>
  <c r="B2338" i="1"/>
  <c r="B876" i="1"/>
  <c r="B1139" i="1" s="1"/>
  <c r="B2270" i="1"/>
  <c r="B639" i="1" s="1"/>
  <c r="B1501" i="1" s="1"/>
  <c r="B1877" i="1" s="1"/>
  <c r="B1301" i="1"/>
  <c r="B2612" i="1"/>
  <c r="B1853" i="1" s="1"/>
  <c r="B633" i="1" s="1"/>
  <c r="B2584" i="1" s="1"/>
  <c r="B840" i="1"/>
  <c r="B2451" i="1" s="1"/>
  <c r="B1586" i="1" s="1"/>
  <c r="B2607" i="1"/>
  <c r="B1096" i="1" s="1"/>
  <c r="B1150" i="1" s="1"/>
  <c r="B1524" i="1" s="1"/>
  <c r="B475" i="1" s="1"/>
  <c r="B881" i="1"/>
  <c r="B248" i="1"/>
  <c r="B584" i="1" s="1"/>
  <c r="B1441" i="1" s="1"/>
  <c r="B563" i="1" s="1"/>
  <c r="B1136" i="1"/>
  <c r="B2237" i="1" s="1"/>
  <c r="B1048" i="1" s="1"/>
  <c r="B2258" i="1"/>
  <c r="B1771" i="1"/>
  <c r="B2023" i="1" s="1"/>
  <c r="B1340" i="1" s="1"/>
  <c r="B2266" i="1" s="1"/>
  <c r="B777" i="1"/>
  <c r="B1971" i="1" s="1"/>
  <c r="B1415" i="1"/>
  <c r="B2678" i="1"/>
  <c r="B670" i="1" s="1"/>
  <c r="B691" i="1"/>
  <c r="B182" i="1"/>
  <c r="B1632" i="1" s="1"/>
  <c r="B1091" i="1"/>
  <c r="B1567" i="1"/>
  <c r="B46" i="1"/>
  <c r="B1781" i="1" s="1"/>
  <c r="B11" i="1" s="1"/>
  <c r="B1681" i="1" s="1"/>
  <c r="B1382" i="1" s="1"/>
  <c r="B838" i="1" s="1"/>
  <c r="B2434" i="1" s="1"/>
  <c r="B2452" i="1" s="1"/>
  <c r="B1388" i="1" s="1"/>
  <c r="B376" i="1"/>
  <c r="B1915" i="1"/>
  <c r="B927" i="1" s="1"/>
  <c r="B1670" i="1" s="1"/>
  <c r="B1578" i="1" s="1"/>
  <c r="B689" i="1" s="1"/>
  <c r="B2297" i="1"/>
  <c r="B1351" i="1" s="1"/>
  <c r="B1076" i="1" s="1"/>
  <c r="B897" i="1"/>
  <c r="B1710" i="1" s="1"/>
  <c r="B2114" i="1" s="1"/>
  <c r="B259" i="1" s="1"/>
  <c r="B432" i="1" s="1"/>
  <c r="B2075" i="1" s="1"/>
  <c r="B1674" i="1" s="1"/>
  <c r="B2660" i="1" s="1"/>
  <c r="B2051" i="1" s="1"/>
  <c r="B1109" i="1"/>
  <c r="B190" i="1"/>
  <c r="B67" i="1" s="1"/>
  <c r="B1274" i="1"/>
  <c r="B1600" i="1" s="1"/>
  <c r="B2432" i="1"/>
  <c r="B807" i="1" s="1"/>
  <c r="B2234" i="1"/>
  <c r="B678" i="1" s="1"/>
  <c r="B1125" i="1"/>
  <c r="B1486" i="1"/>
  <c r="B2120" i="1" s="1"/>
  <c r="B1565" i="1" s="1"/>
  <c r="B940" i="1" s="1"/>
  <c r="B991" i="1"/>
  <c r="B967" i="1" s="1"/>
  <c r="B647" i="1" s="1"/>
  <c r="B438" i="1" s="1"/>
  <c r="B624" i="1" s="1"/>
  <c r="B2225" i="1" s="1"/>
  <c r="B2621" i="1" s="1"/>
  <c r="B1945" i="1" s="1"/>
  <c r="B2194" i="1"/>
  <c r="B1873" i="1" s="1"/>
  <c r="B725" i="1" s="1"/>
  <c r="B2032" i="1" s="1"/>
  <c r="B145" i="1"/>
  <c r="B75" i="1"/>
  <c r="B810" i="1" s="1"/>
  <c r="B473" i="1" s="1"/>
  <c r="B830" i="1"/>
  <c r="B516" i="1"/>
  <c r="B1093" i="1" s="1"/>
  <c r="B1627" i="1"/>
  <c r="B1601" i="1"/>
  <c r="B1016" i="1" s="1"/>
  <c r="B1832" i="1" s="1"/>
  <c r="B1463" i="1"/>
  <c r="B1244" i="1" s="1"/>
  <c r="B1374" i="1"/>
  <c r="B2482" i="1" s="1"/>
  <c r="B1594" i="1"/>
  <c r="B192" i="1"/>
  <c r="B2456" i="1" s="1"/>
  <c r="B535" i="1"/>
  <c r="B2629" i="1" s="1"/>
  <c r="B1372" i="1" s="1"/>
  <c r="B2286" i="1"/>
  <c r="B1598" i="1"/>
  <c r="B2064" i="1" s="1"/>
  <c r="B2677" i="1" s="1"/>
  <c r="B1708" i="1" s="1"/>
  <c r="B1309" i="1"/>
  <c r="B2499" i="1" s="1"/>
  <c r="B2655" i="1" s="1"/>
  <c r="B605" i="1" s="1"/>
  <c r="B1279" i="1" s="1"/>
  <c r="B552" i="1"/>
  <c r="B378" i="1" s="1"/>
  <c r="B1977" i="1" s="1"/>
  <c r="B947" i="1"/>
  <c r="B1458" i="1" s="1"/>
  <c r="B1233" i="1"/>
  <c r="B858" i="1"/>
  <c r="B2085" i="1" s="1"/>
  <c r="B854" i="1" s="1"/>
  <c r="B676" i="1" s="1"/>
  <c r="B1343" i="1"/>
  <c r="B591" i="1"/>
  <c r="B395" i="1"/>
  <c r="B733" i="1"/>
  <c r="B300" i="1"/>
  <c r="B48" i="1" s="1"/>
  <c r="B963" i="1" s="1"/>
  <c r="B477" i="1" s="1"/>
  <c r="B1419" i="1" s="1"/>
  <c r="B1967" i="1" s="1"/>
  <c r="B911" i="1" s="1"/>
  <c r="B608" i="1"/>
  <c r="B2366" i="1" s="1"/>
  <c r="B600" i="1" s="1"/>
  <c r="B989" i="1" s="1"/>
  <c r="B195" i="1" s="1"/>
  <c r="B948" i="1"/>
  <c r="B1712" i="1" s="1"/>
  <c r="B1523" i="1" s="1"/>
  <c r="B1914" i="1"/>
  <c r="B1530" i="1" s="1"/>
  <c r="B1042" i="1" s="1"/>
  <c r="B2352" i="1" s="1"/>
  <c r="B857" i="1"/>
  <c r="B2392" i="1" s="1"/>
  <c r="B2360" i="1" s="1"/>
  <c r="B1162" i="1" s="1"/>
  <c r="B625" i="1"/>
  <c r="B2540" i="1" s="1"/>
  <c r="B105" i="1"/>
  <c r="B767" i="1"/>
  <c r="B228" i="1" s="1"/>
  <c r="B794" i="1"/>
  <c r="B1421" i="1" s="1"/>
  <c r="B709" i="1" s="1"/>
  <c r="B680" i="1" s="1"/>
  <c r="B1356" i="1"/>
  <c r="B713" i="1"/>
  <c r="B933" i="1"/>
  <c r="B1777" i="1" s="1"/>
  <c r="B919" i="1" s="1"/>
  <c r="B1962" i="1"/>
  <c r="B1259" i="1" s="1"/>
  <c r="B479" i="1"/>
  <c r="B1045" i="1" s="1"/>
  <c r="B1700" i="1" s="1"/>
  <c r="B193" i="1" s="1"/>
  <c r="B2435" i="1" s="1"/>
  <c r="B1910" i="1"/>
  <c r="B1938" i="1"/>
  <c r="B2495" i="1" s="1"/>
  <c r="B1665" i="1"/>
  <c r="B1126" i="1" s="1"/>
  <c r="B1065" i="1" s="1"/>
  <c r="B1292" i="1"/>
  <c r="B1165" i="1" s="1"/>
  <c r="B1660" i="1"/>
  <c r="B503" i="1" s="1"/>
  <c r="B1224" i="1"/>
  <c r="B1941" i="1" s="1"/>
  <c r="B2056" i="1" s="1"/>
  <c r="B100" i="1" s="1"/>
  <c r="B1053" i="1"/>
  <c r="B219" i="1" s="1"/>
  <c r="B1276" i="1" s="1"/>
  <c r="B1981" i="1" s="1"/>
  <c r="B2577" i="1" s="1"/>
  <c r="B2252" i="1" s="1"/>
  <c r="B1960" i="1" s="1"/>
  <c r="B894" i="1"/>
  <c r="B1319" i="1" s="1"/>
  <c r="B1175" i="1" s="1"/>
  <c r="B902" i="1"/>
  <c r="B839" i="1" s="1"/>
  <c r="B40" i="1" s="1"/>
  <c r="B132" i="1"/>
  <c r="B1417" i="1"/>
  <c r="B558" i="1"/>
  <c r="B1342" i="1"/>
  <c r="B2391" i="1" s="1"/>
  <c r="B214" i="1" s="1"/>
  <c r="B2668" i="1" s="1"/>
  <c r="B1163" i="1"/>
  <c r="B243" i="1"/>
  <c r="B1796" i="1" s="1"/>
  <c r="B1059" i="1" s="1"/>
  <c r="B250" i="1" s="1"/>
  <c r="B748" i="1"/>
  <c r="B2188" i="1" s="1"/>
  <c r="B2159" i="1" s="1"/>
  <c r="B1966" i="1" s="1"/>
  <c r="B781" i="1"/>
  <c r="B1050" i="1"/>
  <c r="B2620" i="1" s="1"/>
  <c r="B1225" i="1"/>
  <c r="B316" i="1"/>
  <c r="B707" i="1" s="1"/>
  <c r="B60" i="1" s="1"/>
  <c r="B2001" i="1" s="1"/>
  <c r="B2180" i="1" s="1"/>
  <c r="B76" i="1"/>
  <c r="B84" i="1"/>
  <c r="B256" i="1" s="1"/>
  <c r="B464" i="1" l="1"/>
  <c r="B1172" i="1" s="1"/>
  <c r="B19" i="1" s="1"/>
  <c r="B2370" i="1" s="1"/>
  <c r="B2425" i="1" s="1"/>
  <c r="B1499" i="1" s="1"/>
  <c r="B2632" i="1"/>
  <c r="B938" i="1" s="1"/>
  <c r="B597" i="1"/>
  <c r="B1952" i="1" s="1"/>
  <c r="B307" i="1"/>
  <c r="B173" i="1" s="1"/>
  <c r="B1515" i="1" s="1"/>
  <c r="B1847" i="1" s="1"/>
  <c r="B2501" i="1" s="1"/>
  <c r="B2591" i="1" s="1"/>
  <c r="B1101" i="1" s="1"/>
  <c r="B399" i="1" s="1"/>
  <c r="B534" i="1"/>
  <c r="B1407" i="1" s="1"/>
  <c r="B2404" i="1"/>
  <c r="B2029" i="1" s="1"/>
  <c r="B2315" i="1" s="1"/>
  <c r="B2682" i="1" s="1"/>
  <c r="B1520" i="1" s="1"/>
  <c r="B1867" i="1" s="1"/>
  <c r="B235" i="1" s="1"/>
  <c r="B831" i="1" s="1"/>
  <c r="B694" i="1" s="1"/>
  <c r="B2074" i="1" s="1"/>
  <c r="B1509" i="1" s="1"/>
  <c r="B2059" i="1" s="1"/>
  <c r="B1954" i="1" s="1"/>
  <c r="B619" i="1" s="1"/>
  <c r="B1300" i="1" s="1"/>
  <c r="B1942" i="1" s="1"/>
  <c r="B2453" i="1" s="1"/>
  <c r="B992" i="1" s="1"/>
  <c r="B347" i="1" s="1"/>
  <c r="B1273" i="1" s="1"/>
  <c r="B2414" i="1"/>
  <c r="B1589" i="1"/>
  <c r="B1999" i="1" s="1"/>
  <c r="B245" i="1" s="1"/>
  <c r="B787" i="1" s="1"/>
  <c r="B2469" i="1" s="1"/>
  <c r="B2073" i="1"/>
  <c r="B1401" i="1"/>
  <c r="B1752" i="1" s="1"/>
  <c r="B901" i="1" s="1"/>
  <c r="B739" i="1" s="1"/>
  <c r="B388" i="1"/>
  <c r="B2588" i="1" s="1"/>
  <c r="B414" i="1" s="1"/>
  <c r="B2202" i="1"/>
  <c r="B116" i="1" s="1"/>
  <c r="B1256" i="1" s="1"/>
  <c r="B2230" i="1" s="1"/>
  <c r="B589" i="1"/>
  <c r="B544" i="1" s="1"/>
  <c r="B657" i="1" s="1"/>
  <c r="B1676" i="1" s="1"/>
  <c r="B1055" i="1" s="1"/>
  <c r="B557" i="1" s="1"/>
  <c r="B1605" i="1"/>
  <c r="B2150" i="1" s="1"/>
  <c r="B277" i="1" s="1"/>
  <c r="B2551" i="1" s="1"/>
  <c r="B338" i="1" s="1"/>
  <c r="B2506" i="1" s="1"/>
  <c r="B2138" i="1" s="1"/>
  <c r="B2218" i="1"/>
  <c r="B1335" i="1" s="1"/>
  <c r="B2643" i="1" s="1"/>
  <c r="B2363" i="1" s="1"/>
  <c r="B1194" i="1" s="1"/>
  <c r="B2431" i="1" s="1"/>
  <c r="B2040" i="1" s="1"/>
  <c r="B2505" i="1" s="1"/>
  <c r="B1791" i="1" s="1"/>
  <c r="B1792" i="1" s="1"/>
  <c r="B2527" i="1" s="1"/>
  <c r="B1898" i="1" s="1"/>
  <c r="B1157" i="1" s="1"/>
  <c r="B2229" i="1" s="1"/>
  <c r="B1095" i="1" s="1"/>
  <c r="B1934" i="1" s="1"/>
  <c r="B2330" i="1"/>
  <c r="B2692" i="1" s="1"/>
  <c r="B176" i="1"/>
  <c r="B2520" i="1" s="1"/>
  <c r="B1090" i="1" s="1"/>
  <c r="B1653" i="1" s="1"/>
  <c r="B2464" i="1" s="1"/>
  <c r="B2224" i="1" s="1"/>
  <c r="B945" i="1"/>
  <c r="B2512" i="1"/>
  <c r="B1349" i="1" s="1"/>
  <c r="B346" i="1" s="1"/>
  <c r="B341" i="1"/>
  <c r="B2107" i="1"/>
  <c r="B2285" i="1" s="1"/>
  <c r="B1455" i="1" s="1"/>
  <c r="B890" i="1" s="1"/>
  <c r="B820" i="1"/>
  <c r="B1360" i="1"/>
  <c r="B1001" i="1"/>
  <c r="B188" i="1"/>
  <c r="B2412" i="1" s="1"/>
  <c r="B2384" i="1" s="1"/>
  <c r="B2185" i="1" s="1"/>
  <c r="B440" i="1" s="1"/>
  <c r="B1410" i="1" s="1"/>
  <c r="B679" i="1"/>
  <c r="B1452" i="1"/>
  <c r="B790" i="1"/>
  <c r="B1787" i="1" s="1"/>
  <c r="B2562" i="1" s="1"/>
  <c r="B2313" i="1"/>
  <c r="B565" i="1"/>
  <c r="B980" i="1" s="1"/>
  <c r="B1772" i="1" s="1"/>
  <c r="B1897" i="1" l="1"/>
  <c r="B1063" i="1" s="1"/>
  <c r="B2625" i="1"/>
  <c r="B2486" i="1" s="1"/>
  <c r="B553" i="1"/>
  <c r="E2" i="1" s="1"/>
  <c r="B1984" i="1"/>
  <c r="B1730" i="1" s="1"/>
  <c r="B1507" i="1" s="1"/>
  <c r="B1135" i="1" s="1"/>
  <c r="B257" i="1" s="1"/>
  <c r="B2443" i="1" s="1"/>
  <c r="B560" i="1" s="1"/>
  <c r="B2021" i="1" s="1"/>
  <c r="B1041" i="1"/>
  <c r="B2199" i="1" s="1"/>
  <c r="B702" i="1" s="1"/>
  <c r="B2490" i="1" s="1"/>
  <c r="B716" i="1" s="1"/>
  <c r="B135" i="1" s="1"/>
  <c r="B134" i="1" s="1"/>
  <c r="B1010" i="1"/>
  <c r="B1917" i="1" s="1"/>
  <c r="B754" i="1" s="1"/>
  <c r="B2524" i="1" s="1"/>
  <c r="B2498" i="1" s="1"/>
  <c r="B4" i="1" s="1"/>
  <c r="B675" i="1" s="1"/>
  <c r="B1527" i="1" s="1"/>
  <c r="B1485" i="1" s="1"/>
  <c r="B969" i="1" s="1"/>
  <c r="B1789" i="1" s="1"/>
  <c r="B1218" i="1" s="1"/>
  <c r="B1029" i="1" s="1"/>
  <c r="B1622" i="1" s="1"/>
  <c r="B434" i="1" s="1"/>
  <c r="B2680" i="1" s="1"/>
  <c r="B2567" i="1" s="1"/>
  <c r="B2497" i="1" s="1"/>
  <c r="B1797" i="1" s="1"/>
  <c r="B1844" i="1" s="1"/>
  <c r="B400" i="1" s="1"/>
  <c r="B2470" i="1" s="1"/>
  <c r="B240" i="1" s="1"/>
  <c r="B183" i="1" s="1"/>
  <c r="B1511" i="1" s="1"/>
  <c r="B1682" i="1" s="1"/>
  <c r="B396" i="1" s="1"/>
  <c r="B398" i="1" s="1"/>
  <c r="B1304" i="1" s="1"/>
  <c r="B1038" i="1" s="1"/>
  <c r="B2248" i="1" s="1"/>
  <c r="B1146" i="1" s="1"/>
  <c r="B2597" i="1" s="1"/>
  <c r="B941" i="1" s="1"/>
  <c r="B152" i="1" s="1"/>
  <c r="B1232" i="1" s="1"/>
  <c r="B2108" i="1" s="1"/>
  <c r="B1970" i="1" s="1"/>
  <c r="B242" i="1" s="1"/>
  <c r="B1026" i="1" s="1"/>
  <c r="B2041" i="1" s="1"/>
  <c r="B1851" i="1" l="1"/>
  <c r="B1475" i="1" s="1"/>
  <c r="B594" i="1" s="1"/>
  <c r="B443" i="1" s="1"/>
  <c r="B1107" i="1" s="1"/>
  <c r="B802" i="1" s="1"/>
  <c r="B1765" i="1" s="1"/>
  <c r="D2" i="1" s="1"/>
  <c r="F2" i="1" s="1"/>
  <c r="B574" i="1" l="1"/>
  <c r="J1" i="1" s="1"/>
</calcChain>
</file>

<file path=xl/sharedStrings.xml><?xml version="1.0" encoding="utf-8"?>
<sst xmlns="http://schemas.openxmlformats.org/spreadsheetml/2006/main" count="2710" uniqueCount="2709">
  <si>
    <t>jwql</t>
  </si>
  <si>
    <t>tqsm</t>
  </si>
  <si>
    <t>svnj</t>
  </si>
  <si>
    <t>dbzh</t>
  </si>
  <si>
    <t>gnsg</t>
  </si>
  <si>
    <t>cscc</t>
  </si>
  <si>
    <t>mpjs</t>
  </si>
  <si>
    <t>zmrg</t>
  </si>
  <si>
    <t>tscm</t>
  </si>
  <si>
    <t>nscs</t>
  </si>
  <si>
    <t>mdgm</t>
  </si>
  <si>
    <t>pbrd</t>
  </si>
  <si>
    <t>zlcn</t>
  </si>
  <si>
    <t>zvnj</t>
  </si>
  <si>
    <t>mrrb</t>
  </si>
  <si>
    <t>blml</t>
  </si>
  <si>
    <t>rdsl</t>
  </si>
  <si>
    <t>dgcp</t>
  </si>
  <si>
    <t>vhfh</t>
  </si>
  <si>
    <t>lsth</t>
  </si>
  <si>
    <t>sbjp</t>
  </si>
  <si>
    <t>cwzv</t>
  </si>
  <si>
    <t>whth</t>
  </si>
  <si>
    <t>sjgn</t>
  </si>
  <si>
    <t>clcj</t>
  </si>
  <si>
    <t>pcms</t>
  </si>
  <si>
    <t>jqvn</t>
  </si>
  <si>
    <t>tfvn</t>
  </si>
  <si>
    <t>jzbv</t>
  </si>
  <si>
    <t>qvgc</t>
  </si>
  <si>
    <t>npqm</t>
  </si>
  <si>
    <t>ljqw</t>
  </si>
  <si>
    <t>lddv</t>
  </si>
  <si>
    <t>pfqq</t>
  </si>
  <si>
    <t>vpsr</t>
  </si>
  <si>
    <t>hlcp</t>
  </si>
  <si>
    <t>rmjw</t>
  </si>
  <si>
    <t>dfsr</t>
  </si>
  <si>
    <t>hfss</t>
  </si>
  <si>
    <t>rzwz</t>
  </si>
  <si>
    <t>jsrs</t>
  </si>
  <si>
    <t>vqzw</t>
  </si>
  <si>
    <t>mrfv</t>
  </si>
  <si>
    <t>smbr</t>
  </si>
  <si>
    <t>ltrm</t>
  </si>
  <si>
    <t>nsrr</t>
  </si>
  <si>
    <t>qpth</t>
  </si>
  <si>
    <t>hmgv</t>
  </si>
  <si>
    <t>wjpp</t>
  </si>
  <si>
    <t>jsms</t>
  </si>
  <si>
    <t>wqrt</t>
  </si>
  <si>
    <t>nwqn</t>
  </si>
  <si>
    <t>fvmv</t>
  </si>
  <si>
    <t>vcfh</t>
  </si>
  <si>
    <t>fbtw</t>
  </si>
  <si>
    <t>djcj</t>
  </si>
  <si>
    <t>swzm</t>
  </si>
  <si>
    <t>wvwf</t>
  </si>
  <si>
    <t>fbcc</t>
  </si>
  <si>
    <t>qgtn</t>
  </si>
  <si>
    <t>tlqm</t>
  </si>
  <si>
    <t>pnvf</t>
  </si>
  <si>
    <t>gsdr</t>
  </si>
  <si>
    <t>mpqs</t>
  </si>
  <si>
    <t>rmhj</t>
  </si>
  <si>
    <t>vznw</t>
  </si>
  <si>
    <t>zhvz</t>
  </si>
  <si>
    <t>lhcr</t>
  </si>
  <si>
    <t>rvlm</t>
  </si>
  <si>
    <t>phps</t>
  </si>
  <si>
    <t>hbcq</t>
  </si>
  <si>
    <t>dnvd</t>
  </si>
  <si>
    <t>ldvj</t>
  </si>
  <si>
    <t>rjld</t>
  </si>
  <si>
    <t>zrwh</t>
  </si>
  <si>
    <t>zcpc</t>
  </si>
  <si>
    <t>fgdw</t>
  </si>
  <si>
    <t>vvqq</t>
  </si>
  <si>
    <t>fjwb</t>
  </si>
  <si>
    <t>mfqc</t>
  </si>
  <si>
    <t>jrgn</t>
  </si>
  <si>
    <t>szvz</t>
  </si>
  <si>
    <t>mdgl</t>
  </si>
  <si>
    <t>pcch</t>
  </si>
  <si>
    <t>vmmw</t>
  </si>
  <si>
    <t>mrcm</t>
  </si>
  <si>
    <t>pscr</t>
  </si>
  <si>
    <t>llpb</t>
  </si>
  <si>
    <t>crlj</t>
  </si>
  <si>
    <t>jfnp</t>
  </si>
  <si>
    <t>zjgt</t>
  </si>
  <si>
    <t>nmmz</t>
  </si>
  <si>
    <t>rdmc</t>
  </si>
  <si>
    <t>tpmz</t>
  </si>
  <si>
    <t>wnms</t>
  </si>
  <si>
    <t>ztnq</t>
  </si>
  <si>
    <t>sbwb</t>
  </si>
  <si>
    <t>jpdw</t>
  </si>
  <si>
    <t>mstb</t>
  </si>
  <si>
    <t>mvrp</t>
  </si>
  <si>
    <t>mqhl</t>
  </si>
  <si>
    <t>gmsj</t>
  </si>
  <si>
    <t>rzfz</t>
  </si>
  <si>
    <t>thnb</t>
  </si>
  <si>
    <t>flnj</t>
  </si>
  <si>
    <t>bpjm</t>
  </si>
  <si>
    <t>jdqq</t>
  </si>
  <si>
    <t>mnrl</t>
  </si>
  <si>
    <t>wjzg</t>
  </si>
  <si>
    <t>tdnb</t>
  </si>
  <si>
    <t>hhgt</t>
  </si>
  <si>
    <t>gjdq</t>
  </si>
  <si>
    <t>qgfq</t>
  </si>
  <si>
    <t>nmzt</t>
  </si>
  <si>
    <t>ndrd</t>
  </si>
  <si>
    <t>mspz</t>
  </si>
  <si>
    <t>npbq</t>
  </si>
  <si>
    <t>qsfj</t>
  </si>
  <si>
    <t>jqvz</t>
  </si>
  <si>
    <t>mrst</t>
  </si>
  <si>
    <t>vjqw</t>
  </si>
  <si>
    <t>dbpv</t>
  </si>
  <si>
    <t>lljn</t>
  </si>
  <si>
    <t>swjc</t>
  </si>
  <si>
    <t>jwph</t>
  </si>
  <si>
    <t>djqp</t>
  </si>
  <si>
    <t>rpcj</t>
  </si>
  <si>
    <t>vrlf</t>
  </si>
  <si>
    <t>qppr</t>
  </si>
  <si>
    <t>llbw</t>
  </si>
  <si>
    <t>nqwl</t>
  </si>
  <si>
    <t>pljj</t>
  </si>
  <si>
    <t>nddv</t>
  </si>
  <si>
    <t>qsgv</t>
  </si>
  <si>
    <t>vzft</t>
  </si>
  <si>
    <t>gczl</t>
  </si>
  <si>
    <t>psfs</t>
  </si>
  <si>
    <t>lvdf</t>
  </si>
  <si>
    <t>mmlw</t>
  </si>
  <si>
    <t>ccft</t>
  </si>
  <si>
    <t>mdrn</t>
  </si>
  <si>
    <t>lfvh</t>
  </si>
  <si>
    <t>brjc</t>
  </si>
  <si>
    <t>dndb</t>
  </si>
  <si>
    <t>czgl</t>
  </si>
  <si>
    <t>wzfs</t>
  </si>
  <si>
    <t>npcm</t>
  </si>
  <si>
    <t>bfgr</t>
  </si>
  <si>
    <t>mgzs</t>
  </si>
  <si>
    <t>tnmz</t>
  </si>
  <si>
    <t>zztb</t>
  </si>
  <si>
    <t>jtpw</t>
  </si>
  <si>
    <t>hqnp</t>
  </si>
  <si>
    <t>nwbb</t>
  </si>
  <si>
    <t>mzbv</t>
  </si>
  <si>
    <t>rvsv</t>
  </si>
  <si>
    <t>rgjt</t>
  </si>
  <si>
    <t>rnnq</t>
  </si>
  <si>
    <t>wdll</t>
  </si>
  <si>
    <t>wlvl</t>
  </si>
  <si>
    <t>rfdf</t>
  </si>
  <si>
    <t>gldc</t>
  </si>
  <si>
    <t>chzd</t>
  </si>
  <si>
    <t>qpqn</t>
  </si>
  <si>
    <t>zmfn</t>
  </si>
  <si>
    <t>hsnn</t>
  </si>
  <si>
    <t>wtcd</t>
  </si>
  <si>
    <t>hfzr</t>
  </si>
  <si>
    <t>zclt</t>
  </si>
  <si>
    <t>gffg</t>
  </si>
  <si>
    <t>gvpn</t>
  </si>
  <si>
    <t>nctf</t>
  </si>
  <si>
    <t>jmvc</t>
  </si>
  <si>
    <t>rmfw</t>
  </si>
  <si>
    <t>tgrf</t>
  </si>
  <si>
    <t>lsnc</t>
  </si>
  <si>
    <t>vvwr</t>
  </si>
  <si>
    <t>cwpc</t>
  </si>
  <si>
    <t>dvlb</t>
  </si>
  <si>
    <t>dctl</t>
  </si>
  <si>
    <t>fwzt</t>
  </si>
  <si>
    <t>jgpd</t>
  </si>
  <si>
    <t>rftp</t>
  </si>
  <si>
    <t>tznf</t>
  </si>
  <si>
    <t>sglm</t>
  </si>
  <si>
    <t>jsqw</t>
  </si>
  <si>
    <t>tfwm</t>
  </si>
  <si>
    <t>jmqz</t>
  </si>
  <si>
    <t>crcz</t>
  </si>
  <si>
    <t>vwpc</t>
  </si>
  <si>
    <t>lsrv</t>
  </si>
  <si>
    <t>jpsb</t>
  </si>
  <si>
    <t>jnqm</t>
  </si>
  <si>
    <t>qqtc</t>
  </si>
  <si>
    <t>hlzd</t>
  </si>
  <si>
    <t>qgrs</t>
  </si>
  <si>
    <t>pnbb</t>
  </si>
  <si>
    <t>bbhz</t>
  </si>
  <si>
    <t>qwqw</t>
  </si>
  <si>
    <t>pgdm</t>
  </si>
  <si>
    <t>rvfr</t>
  </si>
  <si>
    <t>bpfl</t>
  </si>
  <si>
    <t>smbd</t>
  </si>
  <si>
    <t>jrrq</t>
  </si>
  <si>
    <t>jlbh</t>
  </si>
  <si>
    <t>flgh</t>
  </si>
  <si>
    <t>qqbd</t>
  </si>
  <si>
    <t>tsnv</t>
  </si>
  <si>
    <t>cttg</t>
  </si>
  <si>
    <t>lfgc</t>
  </si>
  <si>
    <t>tjcm</t>
  </si>
  <si>
    <t>pgph</t>
  </si>
  <si>
    <t>nmzl</t>
  </si>
  <si>
    <t>jzhw</t>
  </si>
  <si>
    <t>cntc</t>
  </si>
  <si>
    <t>gwpn</t>
  </si>
  <si>
    <t>qmjn</t>
  </si>
  <si>
    <t>tgch</t>
  </si>
  <si>
    <t>zjdz</t>
  </si>
  <si>
    <t>sjch</t>
  </si>
  <si>
    <t>tdqn</t>
  </si>
  <si>
    <t>dphb</t>
  </si>
  <si>
    <t>hbtr</t>
  </si>
  <si>
    <t>jphc</t>
  </si>
  <si>
    <t>bwhb</t>
  </si>
  <si>
    <t>drft</t>
  </si>
  <si>
    <t>nptq</t>
  </si>
  <si>
    <t>zvvw</t>
  </si>
  <si>
    <t>lwdc</t>
  </si>
  <si>
    <t>trzp</t>
  </si>
  <si>
    <t>wzfd</t>
  </si>
  <si>
    <t>zmbb</t>
  </si>
  <si>
    <t>rhgq</t>
  </si>
  <si>
    <t>hzpg</t>
  </si>
  <si>
    <t>hhbj</t>
  </si>
  <si>
    <t>psdb</t>
  </si>
  <si>
    <t>gfsh</t>
  </si>
  <si>
    <t>wtwv</t>
  </si>
  <si>
    <t>ltng</t>
  </si>
  <si>
    <t>whcv</t>
  </si>
  <si>
    <t>hqch</t>
  </si>
  <si>
    <t>gnfz</t>
  </si>
  <si>
    <t>hzwg</t>
  </si>
  <si>
    <t>jsvd</t>
  </si>
  <si>
    <t>cbdg</t>
  </si>
  <si>
    <t>gzmv</t>
  </si>
  <si>
    <t>qdtj</t>
  </si>
  <si>
    <t>gljf</t>
  </si>
  <si>
    <t>dlcz</t>
  </si>
  <si>
    <t>tzmm</t>
  </si>
  <si>
    <t>lhjp</t>
  </si>
  <si>
    <t>cnlm</t>
  </si>
  <si>
    <t>ztgr</t>
  </si>
  <si>
    <t>mqst</t>
  </si>
  <si>
    <t>gcjd</t>
  </si>
  <si>
    <t>gbgw</t>
  </si>
  <si>
    <t>czqs</t>
  </si>
  <si>
    <t>wzsn</t>
  </si>
  <si>
    <t>sqsc</t>
  </si>
  <si>
    <t>dqbq</t>
  </si>
  <si>
    <t>thth</t>
  </si>
  <si>
    <t>zptv</t>
  </si>
  <si>
    <t>dvrd</t>
  </si>
  <si>
    <t>dnhs</t>
  </si>
  <si>
    <t>nvmr</t>
  </si>
  <si>
    <t>ggfm</t>
  </si>
  <si>
    <t>hprc</t>
  </si>
  <si>
    <t>stls</t>
  </si>
  <si>
    <t>mgsz</t>
  </si>
  <si>
    <t>rjhl</t>
  </si>
  <si>
    <t>fhvc</t>
  </si>
  <si>
    <t>swth</t>
  </si>
  <si>
    <t>mgzc</t>
  </si>
  <si>
    <t>mccr</t>
  </si>
  <si>
    <t>ndzf</t>
  </si>
  <si>
    <t>rwwf</t>
  </si>
  <si>
    <t>lfdb</t>
  </si>
  <si>
    <t>lszf</t>
  </si>
  <si>
    <t>psdm</t>
  </si>
  <si>
    <t>hhds</t>
  </si>
  <si>
    <t>pwtz</t>
  </si>
  <si>
    <t>zwdd</t>
  </si>
  <si>
    <t>tnhm</t>
  </si>
  <si>
    <t>ggll</t>
  </si>
  <si>
    <t>hpmd</t>
  </si>
  <si>
    <t>tdhr</t>
  </si>
  <si>
    <t>mqrv</t>
  </si>
  <si>
    <t>rwqw</t>
  </si>
  <si>
    <t>vdbq</t>
  </si>
  <si>
    <t>grrb</t>
  </si>
  <si>
    <t>hfdq</t>
  </si>
  <si>
    <t>wwmq</t>
  </si>
  <si>
    <t>gqlq</t>
  </si>
  <si>
    <t>wgmn</t>
  </si>
  <si>
    <t>fqhp</t>
  </si>
  <si>
    <t>tcpf</t>
  </si>
  <si>
    <t>vblr</t>
  </si>
  <si>
    <t>mflt</t>
  </si>
  <si>
    <t>gvcr</t>
  </si>
  <si>
    <t>rvrp</t>
  </si>
  <si>
    <t>pdpj</t>
  </si>
  <si>
    <t>rfmr</t>
  </si>
  <si>
    <t>trcg</t>
  </si>
  <si>
    <t>vwcc</t>
  </si>
  <si>
    <t>mdlr</t>
  </si>
  <si>
    <t>flwl</t>
  </si>
  <si>
    <t>rzfd</t>
  </si>
  <si>
    <t>zlbd</t>
  </si>
  <si>
    <t>jpgp</t>
  </si>
  <si>
    <t>mzmr</t>
  </si>
  <si>
    <t>ccnp</t>
  </si>
  <si>
    <t>wqlf</t>
  </si>
  <si>
    <t>pqmw</t>
  </si>
  <si>
    <t>cdgd</t>
  </si>
  <si>
    <t>cggc</t>
  </si>
  <si>
    <t>wsfs</t>
  </si>
  <si>
    <t>rpdf</t>
  </si>
  <si>
    <t>pczj</t>
  </si>
  <si>
    <t>jgmg</t>
  </si>
  <si>
    <t>bcmd</t>
  </si>
  <si>
    <t>dvww</t>
  </si>
  <si>
    <t>zngh</t>
  </si>
  <si>
    <t>ndbs</t>
  </si>
  <si>
    <t>dczh</t>
  </si>
  <si>
    <t>wrlp</t>
  </si>
  <si>
    <t>pgts</t>
  </si>
  <si>
    <t>bvrn</t>
  </si>
  <si>
    <t>dtnc</t>
  </si>
  <si>
    <t>gdrl</t>
  </si>
  <si>
    <t>lsdf</t>
  </si>
  <si>
    <t>fdhc</t>
  </si>
  <si>
    <t>pwrg</t>
  </si>
  <si>
    <t>ppwg</t>
  </si>
  <si>
    <t>hpdd</t>
  </si>
  <si>
    <t>fwln</t>
  </si>
  <si>
    <t>jtbj</t>
  </si>
  <si>
    <t>dtdj</t>
  </si>
  <si>
    <t>vsqt</t>
  </si>
  <si>
    <t>wdqq</t>
  </si>
  <si>
    <t>wjsq</t>
  </si>
  <si>
    <t>jldj</t>
  </si>
  <si>
    <t>cglz</t>
  </si>
  <si>
    <t>djlm</t>
  </si>
  <si>
    <t>nfnw</t>
  </si>
  <si>
    <t>wjlh</t>
  </si>
  <si>
    <t>ggvc</t>
  </si>
  <si>
    <t>bvvc</t>
  </si>
  <si>
    <t>grws</t>
  </si>
  <si>
    <t>wbft</t>
  </si>
  <si>
    <t>wsbv</t>
  </si>
  <si>
    <t>tsvq</t>
  </si>
  <si>
    <t>nqjg</t>
  </si>
  <si>
    <t>qbbv</t>
  </si>
  <si>
    <t>snwb</t>
  </si>
  <si>
    <t>wdwp</t>
  </si>
  <si>
    <t>pdbf</t>
  </si>
  <si>
    <t>fzwr</t>
  </si>
  <si>
    <t>fhrb</t>
  </si>
  <si>
    <t>vgzr</t>
  </si>
  <si>
    <t>mcbj</t>
  </si>
  <si>
    <t>dmmh</t>
  </si>
  <si>
    <t>cpvn</t>
  </si>
  <si>
    <t>rprh</t>
  </si>
  <si>
    <t>sdcr</t>
  </si>
  <si>
    <t>lhfl</t>
  </si>
  <si>
    <t>twrb</t>
  </si>
  <si>
    <t>cswv</t>
  </si>
  <si>
    <t>dnbq</t>
  </si>
  <si>
    <t>wwzp</t>
  </si>
  <si>
    <t>wdnv</t>
  </si>
  <si>
    <t>zrpj</t>
  </si>
  <si>
    <t>cgtg</t>
  </si>
  <si>
    <t>jstb</t>
  </si>
  <si>
    <t>hwmg</t>
  </si>
  <si>
    <t>wmmt</t>
  </si>
  <si>
    <t>vwff</t>
  </si>
  <si>
    <t>rbmm</t>
  </si>
  <si>
    <t>hfbv</t>
  </si>
  <si>
    <t>hcsr</t>
  </si>
  <si>
    <t>flbp</t>
  </si>
  <si>
    <t>lsbq</t>
  </si>
  <si>
    <t>wzdf</t>
  </si>
  <si>
    <t>cqzm</t>
  </si>
  <si>
    <t>hgfg</t>
  </si>
  <si>
    <t>blqj</t>
  </si>
  <si>
    <t>glws</t>
  </si>
  <si>
    <t>vqwv</t>
  </si>
  <si>
    <t>djfh</t>
  </si>
  <si>
    <t>rnnm</t>
  </si>
  <si>
    <t>ppwp</t>
  </si>
  <si>
    <t>bpgc</t>
  </si>
  <si>
    <t>mftz</t>
  </si>
  <si>
    <t>dfrl</t>
  </si>
  <si>
    <t>lzwp</t>
  </si>
  <si>
    <t>mqzg</t>
  </si>
  <si>
    <t>bcdg</t>
  </si>
  <si>
    <t>dphc</t>
  </si>
  <si>
    <t>bjpr</t>
  </si>
  <si>
    <t>qmdr</t>
  </si>
  <si>
    <t>sbcl</t>
  </si>
  <si>
    <t>swcn</t>
  </si>
  <si>
    <t>nrpj</t>
  </si>
  <si>
    <t>vvhd</t>
  </si>
  <si>
    <t>ntqn</t>
  </si>
  <si>
    <t>vthq</t>
  </si>
  <si>
    <t>zfsf</t>
  </si>
  <si>
    <t>sflq</t>
  </si>
  <si>
    <t>pfbd</t>
  </si>
  <si>
    <t>mwwf</t>
  </si>
  <si>
    <t>bzzl</t>
  </si>
  <si>
    <t>dpcf</t>
  </si>
  <si>
    <t>smjj</t>
  </si>
  <si>
    <t>tnmv</t>
  </si>
  <si>
    <t>sszs</t>
  </si>
  <si>
    <t>vfmv</t>
  </si>
  <si>
    <t>dbqw</t>
  </si>
  <si>
    <t>bgjf</t>
  </si>
  <si>
    <t>gnpz</t>
  </si>
  <si>
    <t>sgcv</t>
  </si>
  <si>
    <t>rgtd</t>
  </si>
  <si>
    <t>pgzn</t>
  </si>
  <si>
    <t>mfzn</t>
  </si>
  <si>
    <t>gttj</t>
  </si>
  <si>
    <t>gchw</t>
  </si>
  <si>
    <t>pqhs</t>
  </si>
  <si>
    <t>hpzr</t>
  </si>
  <si>
    <t>prwg</t>
  </si>
  <si>
    <t>jdwq</t>
  </si>
  <si>
    <t>tdvg</t>
  </si>
  <si>
    <t>wqch</t>
  </si>
  <si>
    <t>bnmr</t>
  </si>
  <si>
    <t>cbsm</t>
  </si>
  <si>
    <t>cdhh</t>
  </si>
  <si>
    <t>qmvv</t>
  </si>
  <si>
    <t>wbrr</t>
  </si>
  <si>
    <t>lpmb</t>
  </si>
  <si>
    <t>tjmg</t>
  </si>
  <si>
    <t>qdzq</t>
  </si>
  <si>
    <t>wfjf</t>
  </si>
  <si>
    <t>zclc</t>
  </si>
  <si>
    <t>ljng</t>
  </si>
  <si>
    <t>tqwl</t>
  </si>
  <si>
    <t>szwd</t>
  </si>
  <si>
    <t>btpg</t>
  </si>
  <si>
    <t>swtj</t>
  </si>
  <si>
    <t>nmjq</t>
  </si>
  <si>
    <t>htww</t>
  </si>
  <si>
    <t>dwpw</t>
  </si>
  <si>
    <t>ccqq</t>
  </si>
  <si>
    <t>mnqc</t>
  </si>
  <si>
    <t>qzrj</t>
  </si>
  <si>
    <t>pdcc</t>
  </si>
  <si>
    <t>fzzt</t>
  </si>
  <si>
    <t>cwnw</t>
  </si>
  <si>
    <t>wdvh</t>
  </si>
  <si>
    <t>fbnq</t>
  </si>
  <si>
    <t>fsdw</t>
  </si>
  <si>
    <t>qlcr</t>
  </si>
  <si>
    <t>qcst</t>
  </si>
  <si>
    <t>ctgg</t>
  </si>
  <si>
    <t>qjcz</t>
  </si>
  <si>
    <t>ntfg</t>
  </si>
  <si>
    <t>hvsg</t>
  </si>
  <si>
    <t>ncrb</t>
  </si>
  <si>
    <t>ljtw</t>
  </si>
  <si>
    <t>wclb</t>
  </si>
  <si>
    <t>nwgd</t>
  </si>
  <si>
    <t>qqdj</t>
  </si>
  <si>
    <t>fssq</t>
  </si>
  <si>
    <t>qbrz</t>
  </si>
  <si>
    <t>szgs</t>
  </si>
  <si>
    <t>thjb</t>
  </si>
  <si>
    <t>wvsc</t>
  </si>
  <si>
    <t>twql</t>
  </si>
  <si>
    <t>dmbl</t>
  </si>
  <si>
    <t>bvpf</t>
  </si>
  <si>
    <t>zdbl</t>
  </si>
  <si>
    <t>dbqq</t>
  </si>
  <si>
    <t>grln</t>
  </si>
  <si>
    <t>hzpt</t>
  </si>
  <si>
    <t>hsfn</t>
  </si>
  <si>
    <t>smvj</t>
  </si>
  <si>
    <t>mbnh</t>
  </si>
  <si>
    <t>cjvq</t>
  </si>
  <si>
    <t>ptbt</t>
  </si>
  <si>
    <t>hpdz</t>
  </si>
  <si>
    <t>qtwd</t>
  </si>
  <si>
    <t>cncc</t>
  </si>
  <si>
    <t>qgld</t>
  </si>
  <si>
    <t>csgw</t>
  </si>
  <si>
    <t>snlv</t>
  </si>
  <si>
    <t>nshb</t>
  </si>
  <si>
    <t>qvmg</t>
  </si>
  <si>
    <t>tmhr</t>
  </si>
  <si>
    <t>dtlj</t>
  </si>
  <si>
    <t>wzsh</t>
  </si>
  <si>
    <t>dfld</t>
  </si>
  <si>
    <t>nlzv</t>
  </si>
  <si>
    <t>thrm</t>
  </si>
  <si>
    <t>szgv</t>
  </si>
  <si>
    <t>qdbz</t>
  </si>
  <si>
    <t>tzsp</t>
  </si>
  <si>
    <t>qpqs</t>
  </si>
  <si>
    <t>rcqf</t>
  </si>
  <si>
    <t>bwdg</t>
  </si>
  <si>
    <t>mhmw</t>
  </si>
  <si>
    <t>zddm</t>
  </si>
  <si>
    <t>mhtm</t>
  </si>
  <si>
    <t>fjzq</t>
  </si>
  <si>
    <t>vqgm</t>
  </si>
  <si>
    <t>qnnl</t>
  </si>
  <si>
    <t>rvfp</t>
  </si>
  <si>
    <t>bqbb</t>
  </si>
  <si>
    <t>jgrd</t>
  </si>
  <si>
    <t>mjqq</t>
  </si>
  <si>
    <t>zbnw</t>
  </si>
  <si>
    <t>dfjl</t>
  </si>
  <si>
    <t>wfwm</t>
  </si>
  <si>
    <t>dhsh</t>
  </si>
  <si>
    <t>cnrj</t>
  </si>
  <si>
    <t>nmpt</t>
  </si>
  <si>
    <t>vtzc</t>
  </si>
  <si>
    <t>ffbd</t>
  </si>
  <si>
    <t>hgvw</t>
  </si>
  <si>
    <t>qnww</t>
  </si>
  <si>
    <t>slhm</t>
  </si>
  <si>
    <t>cghj</t>
  </si>
  <si>
    <t>vnrr</t>
  </si>
  <si>
    <t>ttrc</t>
  </si>
  <si>
    <t>bmsc</t>
  </si>
  <si>
    <t>btbr</t>
  </si>
  <si>
    <t>hmrb</t>
  </si>
  <si>
    <t>dprf</t>
  </si>
  <si>
    <t>lbht</t>
  </si>
  <si>
    <t>bvtd</t>
  </si>
  <si>
    <t>hpfr</t>
  </si>
  <si>
    <t>fppg</t>
  </si>
  <si>
    <t>hlqb</t>
  </si>
  <si>
    <t>pccp</t>
  </si>
  <si>
    <t>nmgl</t>
  </si>
  <si>
    <t>chnh</t>
  </si>
  <si>
    <t>hmwf</t>
  </si>
  <si>
    <t>bfqz</t>
  </si>
  <si>
    <t>bvwp</t>
  </si>
  <si>
    <t>tmpv</t>
  </si>
  <si>
    <t>ljlj</t>
  </si>
  <si>
    <t>htvj</t>
  </si>
  <si>
    <t>vfrz</t>
  </si>
  <si>
    <t>llzl</t>
  </si>
  <si>
    <t>wjhg</t>
  </si>
  <si>
    <t>fgbg</t>
  </si>
  <si>
    <t>mtmt</t>
  </si>
  <si>
    <t>rljp</t>
  </si>
  <si>
    <t>fdjr</t>
  </si>
  <si>
    <t>ddtt</t>
  </si>
  <si>
    <t>pdmm</t>
  </si>
  <si>
    <t>jgvd</t>
  </si>
  <si>
    <t>prsr</t>
  </si>
  <si>
    <t>gzsv</t>
  </si>
  <si>
    <t>tvrh</t>
  </si>
  <si>
    <t>tlsr</t>
  </si>
  <si>
    <t>wpln</t>
  </si>
  <si>
    <t>htbd</t>
  </si>
  <si>
    <t>fmpg</t>
  </si>
  <si>
    <t>mfdj</t>
  </si>
  <si>
    <t>ljjb</t>
  </si>
  <si>
    <t>ppzf</t>
  </si>
  <si>
    <t>zchq</t>
  </si>
  <si>
    <t>dpgj</t>
  </si>
  <si>
    <t>sqpd</t>
  </si>
  <si>
    <t>qqjr</t>
  </si>
  <si>
    <t>wvdg</t>
  </si>
  <si>
    <t>dwnf</t>
  </si>
  <si>
    <t>jdbd</t>
  </si>
  <si>
    <t>tgfs</t>
  </si>
  <si>
    <t>rbvm</t>
  </si>
  <si>
    <t>fdvb</t>
  </si>
  <si>
    <t>zfpr</t>
  </si>
  <si>
    <t>bwts</t>
  </si>
  <si>
    <t>fcns</t>
  </si>
  <si>
    <t>bwll</t>
  </si>
  <si>
    <t>cpfw</t>
  </si>
  <si>
    <t>mqqh</t>
  </si>
  <si>
    <t>sfvg</t>
  </si>
  <si>
    <t>zrvq</t>
  </si>
  <si>
    <t>stfm</t>
  </si>
  <si>
    <t>nfzh</t>
  </si>
  <si>
    <t>ppvm</t>
  </si>
  <si>
    <t>bhlr</t>
  </si>
  <si>
    <t>bqvr</t>
  </si>
  <si>
    <t>bhvl</t>
  </si>
  <si>
    <t>twnp</t>
  </si>
  <si>
    <t>gmld</t>
  </si>
  <si>
    <t>pggp</t>
  </si>
  <si>
    <t>ndfj</t>
  </si>
  <si>
    <t>rhnv</t>
  </si>
  <si>
    <t>nqhd</t>
  </si>
  <si>
    <t>gczg</t>
  </si>
  <si>
    <t>pthm</t>
  </si>
  <si>
    <t>rvbn</t>
  </si>
  <si>
    <t>ppld</t>
  </si>
  <si>
    <t>lwgd</t>
  </si>
  <si>
    <t>gdsq</t>
  </si>
  <si>
    <t>qwwl</t>
  </si>
  <si>
    <t>jzth</t>
  </si>
  <si>
    <t>bjzb</t>
  </si>
  <si>
    <t>mstr</t>
  </si>
  <si>
    <t>mslc</t>
  </si>
  <si>
    <t>gtjc</t>
  </si>
  <si>
    <t>hgwg</t>
  </si>
  <si>
    <t>wcps</t>
  </si>
  <si>
    <t>sbqt</t>
  </si>
  <si>
    <t>cnfh</t>
  </si>
  <si>
    <t>cdnl</t>
  </si>
  <si>
    <t>gflq</t>
  </si>
  <si>
    <t>wvfr</t>
  </si>
  <si>
    <t>fqbn</t>
  </si>
  <si>
    <t>nsmv</t>
  </si>
  <si>
    <t>jnqw</t>
  </si>
  <si>
    <t>qdjt</t>
  </si>
  <si>
    <t>blpr</t>
  </si>
  <si>
    <t>bnnw</t>
  </si>
  <si>
    <t>dccl</t>
  </si>
  <si>
    <t>fmnd</t>
  </si>
  <si>
    <t>mrmz</t>
  </si>
  <si>
    <t>dnjl</t>
  </si>
  <si>
    <t>lnwm</t>
  </si>
  <si>
    <t>jqdc</t>
  </si>
  <si>
    <t>hnbl</t>
  </si>
  <si>
    <t>tlnz</t>
  </si>
  <si>
    <t>nqvl</t>
  </si>
  <si>
    <t>bnmd</t>
  </si>
  <si>
    <t>hchd</t>
  </si>
  <si>
    <t>gsbn</t>
  </si>
  <si>
    <t>mdcf</t>
  </si>
  <si>
    <t>ldch</t>
  </si>
  <si>
    <t>whzz</t>
  </si>
  <si>
    <t>hpdl</t>
  </si>
  <si>
    <t>gjzt</t>
  </si>
  <si>
    <t>pdvp</t>
  </si>
  <si>
    <t>cvjl</t>
  </si>
  <si>
    <t>hmdt</t>
  </si>
  <si>
    <t>ntqj</t>
  </si>
  <si>
    <t>mnjr</t>
  </si>
  <si>
    <t>svvl</t>
  </si>
  <si>
    <t>cwdv</t>
  </si>
  <si>
    <t>qpwh</t>
  </si>
  <si>
    <t>lmcn</t>
  </si>
  <si>
    <t>hfmg</t>
  </si>
  <si>
    <t>zvdj</t>
  </si>
  <si>
    <t>tgcc</t>
  </si>
  <si>
    <t>wvtc</t>
  </si>
  <si>
    <t>nrcs</t>
  </si>
  <si>
    <t>jwcv</t>
  </si>
  <si>
    <t>cqdw</t>
  </si>
  <si>
    <t>cvld</t>
  </si>
  <si>
    <t>wdjq</t>
  </si>
  <si>
    <t>lcst</t>
  </si>
  <si>
    <t>zrmr</t>
  </si>
  <si>
    <t>wdqw</t>
  </si>
  <si>
    <t>lhpt</t>
  </si>
  <si>
    <t>gqvv</t>
  </si>
  <si>
    <t>dfnh</t>
  </si>
  <si>
    <t>rllb</t>
  </si>
  <si>
    <t>lrpc</t>
  </si>
  <si>
    <t>fqjw</t>
  </si>
  <si>
    <t>cdmb</t>
  </si>
  <si>
    <t>cswj</t>
  </si>
  <si>
    <t>bcvc</t>
  </si>
  <si>
    <t>lthz</t>
  </si>
  <si>
    <t>zqwp</t>
  </si>
  <si>
    <t>qwjp</t>
  </si>
  <si>
    <t>vdmn</t>
  </si>
  <si>
    <t>bhfc</t>
  </si>
  <si>
    <t>fwgr</t>
  </si>
  <si>
    <t>vjmr</t>
  </si>
  <si>
    <t>bclh</t>
  </si>
  <si>
    <t>tncl</t>
  </si>
  <si>
    <t>vpcl</t>
  </si>
  <si>
    <t>tbrs</t>
  </si>
  <si>
    <t>ssvr</t>
  </si>
  <si>
    <t>zlsb</t>
  </si>
  <si>
    <t>bmcp</t>
  </si>
  <si>
    <t>cmgl</t>
  </si>
  <si>
    <t>mdqs</t>
  </si>
  <si>
    <t>fmfm</t>
  </si>
  <si>
    <t>hnhs</t>
  </si>
  <si>
    <t>cbpw</t>
  </si>
  <si>
    <t>lzzq</t>
  </si>
  <si>
    <t>ltsr</t>
  </si>
  <si>
    <t>rjwd</t>
  </si>
  <si>
    <t>qbnw</t>
  </si>
  <si>
    <t>dpmq</t>
  </si>
  <si>
    <t>mqzv</t>
  </si>
  <si>
    <t>rfmq</t>
  </si>
  <si>
    <t>rdpq</t>
  </si>
  <si>
    <t>wnfd</t>
  </si>
  <si>
    <t>stvc</t>
  </si>
  <si>
    <t>chbq</t>
  </si>
  <si>
    <t>jcbp</t>
  </si>
  <si>
    <t>hdpr</t>
  </si>
  <si>
    <t>swpr</t>
  </si>
  <si>
    <t>vbqp</t>
  </si>
  <si>
    <t>tprf</t>
  </si>
  <si>
    <t>vvgt</t>
  </si>
  <si>
    <t>bjrl</t>
  </si>
  <si>
    <t>nrdn</t>
  </si>
  <si>
    <t>cdvg</t>
  </si>
  <si>
    <t>rdmt</t>
  </si>
  <si>
    <t>chmf</t>
  </si>
  <si>
    <t>tmgq</t>
  </si>
  <si>
    <t>jvpl</t>
  </si>
  <si>
    <t>dlrc</t>
  </si>
  <si>
    <t>szgd</t>
  </si>
  <si>
    <t>dmnv</t>
  </si>
  <si>
    <t>wcbw</t>
  </si>
  <si>
    <t>sjcb</t>
  </si>
  <si>
    <t>ptjj</t>
  </si>
  <si>
    <t>jlpb</t>
  </si>
  <si>
    <t>prqv</t>
  </si>
  <si>
    <t>zlbp</t>
  </si>
  <si>
    <t>nqvv</t>
  </si>
  <si>
    <t>trcd</t>
  </si>
  <si>
    <t>mqbd</t>
  </si>
  <si>
    <t>wlpf</t>
  </si>
  <si>
    <t>rdgb</t>
  </si>
  <si>
    <t>pjlg</t>
  </si>
  <si>
    <t>twpb</t>
  </si>
  <si>
    <t>rzvt</t>
  </si>
  <si>
    <t>wttp</t>
  </si>
  <si>
    <t>ssqc</t>
  </si>
  <si>
    <t>tlbn</t>
  </si>
  <si>
    <t>tbqg</t>
  </si>
  <si>
    <t>rswm</t>
  </si>
  <si>
    <t>tffd</t>
  </si>
  <si>
    <t>jdvb</t>
  </si>
  <si>
    <t>fghp</t>
  </si>
  <si>
    <t>dzgp</t>
  </si>
  <si>
    <t>swcp</t>
  </si>
  <si>
    <t>lzlp</t>
  </si>
  <si>
    <t>nqbp</t>
  </si>
  <si>
    <t>vlft</t>
  </si>
  <si>
    <t>wjtp</t>
  </si>
  <si>
    <t>lhwn</t>
  </si>
  <si>
    <t>wvtm</t>
  </si>
  <si>
    <t>qznj</t>
  </si>
  <si>
    <t>wzbm</t>
  </si>
  <si>
    <t>jnhj</t>
  </si>
  <si>
    <t>fwhh</t>
  </si>
  <si>
    <t>fcsr</t>
  </si>
  <si>
    <t>jfrp</t>
  </si>
  <si>
    <t>wjpt</t>
  </si>
  <si>
    <t>zppz</t>
  </si>
  <si>
    <t>phvl</t>
  </si>
  <si>
    <t>ttzn</t>
  </si>
  <si>
    <t>qdrm</t>
  </si>
  <si>
    <t>qsjh</t>
  </si>
  <si>
    <t>llzj</t>
  </si>
  <si>
    <t>grmr</t>
  </si>
  <si>
    <t>jqnh</t>
  </si>
  <si>
    <t>qsjc</t>
  </si>
  <si>
    <t>dnpj</t>
  </si>
  <si>
    <t>cvfz</t>
  </si>
  <si>
    <t>nrdc</t>
  </si>
  <si>
    <t>ftvs</t>
  </si>
  <si>
    <t>rhcs</t>
  </si>
  <si>
    <t>fhhh</t>
  </si>
  <si>
    <t>fhbb</t>
  </si>
  <si>
    <t>brvb</t>
  </si>
  <si>
    <t>ddzr</t>
  </si>
  <si>
    <t>przn</t>
  </si>
  <si>
    <t>ptff</t>
  </si>
  <si>
    <t>trrt</t>
  </si>
  <si>
    <t>rtvg</t>
  </si>
  <si>
    <t>tlfp</t>
  </si>
  <si>
    <t>vtmm</t>
  </si>
  <si>
    <t>pwsg</t>
  </si>
  <si>
    <t>lzfd</t>
  </si>
  <si>
    <t>chvf</t>
  </si>
  <si>
    <t>vmhp</t>
  </si>
  <si>
    <t>pdbl</t>
  </si>
  <si>
    <t>vbmg</t>
  </si>
  <si>
    <t>jpdg</t>
  </si>
  <si>
    <t>tdlv</t>
  </si>
  <si>
    <t>hrpz</t>
  </si>
  <si>
    <t>zhtq</t>
  </si>
  <si>
    <t>rjwv</t>
  </si>
  <si>
    <t>rnhr</t>
  </si>
  <si>
    <t>tbwd</t>
  </si>
  <si>
    <t>bjln</t>
  </si>
  <si>
    <t>ftbp</t>
  </si>
  <si>
    <t>qmhg</t>
  </si>
  <si>
    <t>ptgb</t>
  </si>
  <si>
    <t>mbqg</t>
  </si>
  <si>
    <t>jcdn</t>
  </si>
  <si>
    <t>djqn</t>
  </si>
  <si>
    <t>hfcl</t>
  </si>
  <si>
    <t>mzzl</t>
  </si>
  <si>
    <t>tbwj</t>
  </si>
  <si>
    <t>wgmh</t>
  </si>
  <si>
    <t>qfsr</t>
  </si>
  <si>
    <t>lqlp</t>
  </si>
  <si>
    <t>slqs</t>
  </si>
  <si>
    <t>wzmm</t>
  </si>
  <si>
    <t>dlmj</t>
  </si>
  <si>
    <t>psrr</t>
  </si>
  <si>
    <t>mtns</t>
  </si>
  <si>
    <t>cvvp</t>
  </si>
  <si>
    <t>nwrq</t>
  </si>
  <si>
    <t>tfsd</t>
  </si>
  <si>
    <t>whml</t>
  </si>
  <si>
    <t>tdpd</t>
  </si>
  <si>
    <t>bvmd</t>
  </si>
  <si>
    <t>rrtr</t>
  </si>
  <si>
    <t>bmds</t>
  </si>
  <si>
    <t>wrdh</t>
  </si>
  <si>
    <t>lbhd</t>
  </si>
  <si>
    <t>rnrz</t>
  </si>
  <si>
    <t>pmlq</t>
  </si>
  <si>
    <t>zbjj</t>
  </si>
  <si>
    <t>hfpr</t>
  </si>
  <si>
    <t>pbps</t>
  </si>
  <si>
    <t>lmvq</t>
  </si>
  <si>
    <t>zsrv</t>
  </si>
  <si>
    <t>rtmt</t>
  </si>
  <si>
    <t>gdsr</t>
  </si>
  <si>
    <t>bdlp</t>
  </si>
  <si>
    <t>zqgl</t>
  </si>
  <si>
    <t>gcsn</t>
  </si>
  <si>
    <t>fdhl</t>
  </si>
  <si>
    <t>zshc</t>
  </si>
  <si>
    <t>chdw</t>
  </si>
  <si>
    <t>pngf</t>
  </si>
  <si>
    <t>nplz</t>
  </si>
  <si>
    <t>fwlr</t>
  </si>
  <si>
    <t>cggg</t>
  </si>
  <si>
    <t>wrqg</t>
  </si>
  <si>
    <t>jzpn</t>
  </si>
  <si>
    <t>wqqc</t>
  </si>
  <si>
    <t>grsv</t>
  </si>
  <si>
    <t>szvt</t>
  </si>
  <si>
    <t>rwgf</t>
  </si>
  <si>
    <t>gtzp</t>
  </si>
  <si>
    <t>ldjd</t>
  </si>
  <si>
    <t>tfrq</t>
  </si>
  <si>
    <t>ngfn</t>
  </si>
  <si>
    <t>bzqc</t>
  </si>
  <si>
    <t>bgws</t>
  </si>
  <si>
    <t>fgcf</t>
  </si>
  <si>
    <t>vlgv</t>
  </si>
  <si>
    <t>qnpz</t>
  </si>
  <si>
    <t>lpwc</t>
  </si>
  <si>
    <t>tpgv</t>
  </si>
  <si>
    <t>jqcr</t>
  </si>
  <si>
    <t>tzpw</t>
  </si>
  <si>
    <t>mdfl</t>
  </si>
  <si>
    <t>rwfc</t>
  </si>
  <si>
    <t>tdbn</t>
  </si>
  <si>
    <t>rwlb</t>
  </si>
  <si>
    <t>ntzv</t>
  </si>
  <si>
    <t>tzdq</t>
  </si>
  <si>
    <t>lcmm</t>
  </si>
  <si>
    <t>cdtl</t>
  </si>
  <si>
    <t>sgst</t>
  </si>
  <si>
    <t>hspt</t>
  </si>
  <si>
    <t>rnqw</t>
  </si>
  <si>
    <t>bwdz</t>
  </si>
  <si>
    <t>mmdc</t>
  </si>
  <si>
    <t>qvbm</t>
  </si>
  <si>
    <t>zbcw</t>
  </si>
  <si>
    <t>jgzl</t>
  </si>
  <si>
    <t>dpdn</t>
  </si>
  <si>
    <t>mjzn</t>
  </si>
  <si>
    <t>jssm</t>
  </si>
  <si>
    <t>twtg</t>
  </si>
  <si>
    <t>lfgv</t>
  </si>
  <si>
    <t>hsdq</t>
  </si>
  <si>
    <t>mwvg</t>
  </si>
  <si>
    <t>nfcq</t>
  </si>
  <si>
    <t>snsc</t>
  </si>
  <si>
    <t>lsvd</t>
  </si>
  <si>
    <t>wwgw</t>
  </si>
  <si>
    <t>tmmf</t>
  </si>
  <si>
    <t>gffr</t>
  </si>
  <si>
    <t>hjbt</t>
  </si>
  <si>
    <t>tfsn</t>
  </si>
  <si>
    <t>vfrn</t>
  </si>
  <si>
    <t>bmnl</t>
  </si>
  <si>
    <t>dfjn</t>
  </si>
  <si>
    <t>jgsn</t>
  </si>
  <si>
    <t>qmvl</t>
  </si>
  <si>
    <t>nqmh</t>
  </si>
  <si>
    <t>mcnj</t>
  </si>
  <si>
    <t>rcgh</t>
  </si>
  <si>
    <t>pccf</t>
  </si>
  <si>
    <t>rchv</t>
  </si>
  <si>
    <t>pvqn</t>
  </si>
  <si>
    <t>trfc</t>
  </si>
  <si>
    <t>prsn</t>
  </si>
  <si>
    <t>npwc</t>
  </si>
  <si>
    <t>bjfm</t>
  </si>
  <si>
    <t>qtrb</t>
  </si>
  <si>
    <t>ldcn</t>
  </si>
  <si>
    <t>hlqq</t>
  </si>
  <si>
    <t>nltt</t>
  </si>
  <si>
    <t>mjnm</t>
  </si>
  <si>
    <t>dfmb</t>
  </si>
  <si>
    <t>nwrh</t>
  </si>
  <si>
    <t>lfcg</t>
  </si>
  <si>
    <t>jhhj</t>
  </si>
  <si>
    <t>pqtl</t>
  </si>
  <si>
    <t>gpcg</t>
  </si>
  <si>
    <t>hdvf</t>
  </si>
  <si>
    <t>gwjf</t>
  </si>
  <si>
    <t>zcsf</t>
  </si>
  <si>
    <t>stcd</t>
  </si>
  <si>
    <t>nhzt</t>
  </si>
  <si>
    <t>nwcz</t>
  </si>
  <si>
    <t>smlh</t>
  </si>
  <si>
    <t>gdsz</t>
  </si>
  <si>
    <t>nwfv</t>
  </si>
  <si>
    <t>gcjz</t>
  </si>
  <si>
    <t>hzpn</t>
  </si>
  <si>
    <t>qbhg</t>
  </si>
  <si>
    <t>nzjh</t>
  </si>
  <si>
    <t>lvqb</t>
  </si>
  <si>
    <t>lqml</t>
  </si>
  <si>
    <t>wqmt</t>
  </si>
  <si>
    <t>ddrl</t>
  </si>
  <si>
    <t>bhgc</t>
  </si>
  <si>
    <t>hmfz</t>
  </si>
  <si>
    <t>qfsg</t>
  </si>
  <si>
    <t>wrtb</t>
  </si>
  <si>
    <t>mhhm</t>
  </si>
  <si>
    <t>hfzt</t>
  </si>
  <si>
    <t>frzv</t>
  </si>
  <si>
    <t>trml</t>
  </si>
  <si>
    <t>mwpn</t>
  </si>
  <si>
    <t>vjrs</t>
  </si>
  <si>
    <t>rpsc</t>
  </si>
  <si>
    <t>jszm</t>
  </si>
  <si>
    <t>rszd</t>
  </si>
  <si>
    <t>bjwc</t>
  </si>
  <si>
    <t>rczm</t>
  </si>
  <si>
    <t>bqbl</t>
  </si>
  <si>
    <t>crnl</t>
  </si>
  <si>
    <t>plnq</t>
  </si>
  <si>
    <t>dddh</t>
  </si>
  <si>
    <t>lbhh</t>
  </si>
  <si>
    <t>wlvr</t>
  </si>
  <si>
    <t>wjcr</t>
  </si>
  <si>
    <t>pvdl</t>
  </si>
  <si>
    <t>rhbs</t>
  </si>
  <si>
    <t>vntl</t>
  </si>
  <si>
    <t>jsvp</t>
  </si>
  <si>
    <t>ffjs</t>
  </si>
  <si>
    <t>szdf</t>
  </si>
  <si>
    <t>wfdv</t>
  </si>
  <si>
    <t>fswf</t>
  </si>
  <si>
    <t>sswb</t>
  </si>
  <si>
    <t>zsfg</t>
  </si>
  <si>
    <t>nrrs</t>
  </si>
  <si>
    <t>npqh</t>
  </si>
  <si>
    <t>jllh</t>
  </si>
  <si>
    <t>nntm</t>
  </si>
  <si>
    <t>zdpw</t>
  </si>
  <si>
    <t>sdvv</t>
  </si>
  <si>
    <t>ggnn</t>
  </si>
  <si>
    <t>djwb</t>
  </si>
  <si>
    <t>vjvc</t>
  </si>
  <si>
    <t>rmgn</t>
  </si>
  <si>
    <t>dpbn</t>
  </si>
  <si>
    <t>jbcb</t>
  </si>
  <si>
    <t>fsjt</t>
  </si>
  <si>
    <t>mftn</t>
  </si>
  <si>
    <t>hgtf</t>
  </si>
  <si>
    <t>hscb</t>
  </si>
  <si>
    <t>jgcf</t>
  </si>
  <si>
    <t>rdcj</t>
  </si>
  <si>
    <t>sfrm</t>
  </si>
  <si>
    <t>wdpz</t>
  </si>
  <si>
    <t>qsgb</t>
  </si>
  <si>
    <t>gmrp</t>
  </si>
  <si>
    <t>rbnd</t>
  </si>
  <si>
    <t>jjjz</t>
  </si>
  <si>
    <t>rmvz</t>
  </si>
  <si>
    <t>dbcq</t>
  </si>
  <si>
    <t>qpdn</t>
  </si>
  <si>
    <t>qffn</t>
  </si>
  <si>
    <t>wrsf</t>
  </si>
  <si>
    <t>djfj</t>
  </si>
  <si>
    <t>zvjq</t>
  </si>
  <si>
    <t>gldq</t>
  </si>
  <si>
    <t>root</t>
  </si>
  <si>
    <t>jdqw</t>
  </si>
  <si>
    <t>rfwn</t>
  </si>
  <si>
    <t>sbdb</t>
  </si>
  <si>
    <t>rdqs</t>
  </si>
  <si>
    <t>fcdw</t>
  </si>
  <si>
    <t>cdjw</t>
  </si>
  <si>
    <t>tslc</t>
  </si>
  <si>
    <t>ghvt</t>
  </si>
  <si>
    <t>zlpr</t>
  </si>
  <si>
    <t>rsjw</t>
  </si>
  <si>
    <t>qmrs</t>
  </si>
  <si>
    <t>rwqr</t>
  </si>
  <si>
    <t>bhqd</t>
  </si>
  <si>
    <t>btsh</t>
  </si>
  <si>
    <t>wlwv</t>
  </si>
  <si>
    <t>hvsm</t>
  </si>
  <si>
    <t>qzgh</t>
  </si>
  <si>
    <t>qjjt</t>
  </si>
  <si>
    <t>qphq</t>
  </si>
  <si>
    <t>pqfd</t>
  </si>
  <si>
    <t>hvlg</t>
  </si>
  <si>
    <t>ggpb</t>
  </si>
  <si>
    <t>dgdr</t>
  </si>
  <si>
    <t>wmrp</t>
  </si>
  <si>
    <t>pvch</t>
  </si>
  <si>
    <t>vtqd</t>
  </si>
  <si>
    <t>dmbw</t>
  </si>
  <si>
    <t>sntt</t>
  </si>
  <si>
    <t>bsrp</t>
  </si>
  <si>
    <t>twzs</t>
  </si>
  <si>
    <t>nvff</t>
  </si>
  <si>
    <t>vwcj</t>
  </si>
  <si>
    <t>sblg</t>
  </si>
  <si>
    <t>ccrb</t>
  </si>
  <si>
    <t>jshp</t>
  </si>
  <si>
    <t>jtdd</t>
  </si>
  <si>
    <t>wwhs</t>
  </si>
  <si>
    <t>qrvv</t>
  </si>
  <si>
    <t>dzvq</t>
  </si>
  <si>
    <t>gmlr</t>
  </si>
  <si>
    <t>dtww</t>
  </si>
  <si>
    <t>pbdh</t>
  </si>
  <si>
    <t>wgfc</t>
  </si>
  <si>
    <t>rssf</t>
  </si>
  <si>
    <t>zpft</t>
  </si>
  <si>
    <t>jncn</t>
  </si>
  <si>
    <t>hbln</t>
  </si>
  <si>
    <t>lmbf</t>
  </si>
  <si>
    <t>mmmf</t>
  </si>
  <si>
    <t>svdd</t>
  </si>
  <si>
    <t>nzbh</t>
  </si>
  <si>
    <t>wzts</t>
  </si>
  <si>
    <t>ddmc</t>
  </si>
  <si>
    <t>zzlf</t>
  </si>
  <si>
    <t>lbnq</t>
  </si>
  <si>
    <t>tpbw</t>
  </si>
  <si>
    <t>nlfv</t>
  </si>
  <si>
    <t>vbwq</t>
  </si>
  <si>
    <t>wgfr</t>
  </si>
  <si>
    <t>wwnj</t>
  </si>
  <si>
    <t>bcvs</t>
  </si>
  <si>
    <t>nwdj</t>
  </si>
  <si>
    <t>vcbn</t>
  </si>
  <si>
    <t>pgjt</t>
  </si>
  <si>
    <t>bvnq</t>
  </si>
  <si>
    <t>gspb</t>
  </si>
  <si>
    <t>tjhw</t>
  </si>
  <si>
    <t>wfzs</t>
  </si>
  <si>
    <t>nbjt</t>
  </si>
  <si>
    <t>hvtp</t>
  </si>
  <si>
    <t>nmjj</t>
  </si>
  <si>
    <t>lncq</t>
  </si>
  <si>
    <t>zgrj</t>
  </si>
  <si>
    <t>nnvt</t>
  </si>
  <si>
    <t>pjdp</t>
  </si>
  <si>
    <t>cqfp</t>
  </si>
  <si>
    <t>rhds</t>
  </si>
  <si>
    <t>jhcr</t>
  </si>
  <si>
    <t>rmrr</t>
  </si>
  <si>
    <t>njtt</t>
  </si>
  <si>
    <t>hbtb</t>
  </si>
  <si>
    <t>tflw</t>
  </si>
  <si>
    <t>hlmj</t>
  </si>
  <si>
    <t>svww</t>
  </si>
  <si>
    <t>nnhf</t>
  </si>
  <si>
    <t>pjhq</t>
  </si>
  <si>
    <t>sstq</t>
  </si>
  <si>
    <t>mpbg</t>
  </si>
  <si>
    <t>tztr</t>
  </si>
  <si>
    <t>npff</t>
  </si>
  <si>
    <t>wcrj</t>
  </si>
  <si>
    <t>hhmq</t>
  </si>
  <si>
    <t>lzqm</t>
  </si>
  <si>
    <t>cpvd</t>
  </si>
  <si>
    <t>fjjc</t>
  </si>
  <si>
    <t>qcjg</t>
  </si>
  <si>
    <t>jwhr</t>
  </si>
  <si>
    <t>zlvj</t>
  </si>
  <si>
    <t>gqwq</t>
  </si>
  <si>
    <t>zqzr</t>
  </si>
  <si>
    <t>mfgw</t>
  </si>
  <si>
    <t>mmsr</t>
  </si>
  <si>
    <t>fzms</t>
  </si>
  <si>
    <t>nsbz</t>
  </si>
  <si>
    <t>qvsc</t>
  </si>
  <si>
    <t>tjzp</t>
  </si>
  <si>
    <t>lzlf</t>
  </si>
  <si>
    <t>gblg</t>
  </si>
  <si>
    <t>qnfb</t>
  </si>
  <si>
    <t>vggh</t>
  </si>
  <si>
    <t>vvnh</t>
  </si>
  <si>
    <t>rnsd</t>
  </si>
  <si>
    <t>brbv</t>
  </si>
  <si>
    <t>ntfw</t>
  </si>
  <si>
    <t>gbvr</t>
  </si>
  <si>
    <t>wppb</t>
  </si>
  <si>
    <t>wgvm</t>
  </si>
  <si>
    <t>vrqj</t>
  </si>
  <si>
    <t>qqqp</t>
  </si>
  <si>
    <t>bvzn</t>
  </si>
  <si>
    <t>shvv</t>
  </si>
  <si>
    <t>nflt</t>
  </si>
  <si>
    <t>cqtz</t>
  </si>
  <si>
    <t>vtbg</t>
  </si>
  <si>
    <t>jhmj</t>
  </si>
  <si>
    <t>vdtj</t>
  </si>
  <si>
    <t>dbqz</t>
  </si>
  <si>
    <t>jcvd</t>
  </si>
  <si>
    <t>tppz</t>
  </si>
  <si>
    <t>djdw</t>
  </si>
  <si>
    <t>jppl</t>
  </si>
  <si>
    <t>hfjm</t>
  </si>
  <si>
    <t>tfdv</t>
  </si>
  <si>
    <t>hzhc</t>
  </si>
  <si>
    <t>srbj</t>
  </si>
  <si>
    <t>zjdm</t>
  </si>
  <si>
    <t>zsrg</t>
  </si>
  <si>
    <t>njpf</t>
  </si>
  <si>
    <t>dnmj</t>
  </si>
  <si>
    <t>jbhb</t>
  </si>
  <si>
    <t>jtpg</t>
  </si>
  <si>
    <t>jmrf</t>
  </si>
  <si>
    <t>nwmh</t>
  </si>
  <si>
    <t>rqmw</t>
  </si>
  <si>
    <t>fhpt</t>
  </si>
  <si>
    <t>dmnh</t>
  </si>
  <si>
    <t>gsfj</t>
  </si>
  <si>
    <t>gfvd</t>
  </si>
  <si>
    <t>gjsc</t>
  </si>
  <si>
    <t>mzfw</t>
  </si>
  <si>
    <t>bclv</t>
  </si>
  <si>
    <t>qhpv</t>
  </si>
  <si>
    <t>lqwt</t>
  </si>
  <si>
    <t>frjt</t>
  </si>
  <si>
    <t>qwpg</t>
  </si>
  <si>
    <t>bvgd</t>
  </si>
  <si>
    <t>chpr</t>
  </si>
  <si>
    <t>nmpz</t>
  </si>
  <si>
    <t>cmrm</t>
  </si>
  <si>
    <t>prpz</t>
  </si>
  <si>
    <t>crhs</t>
  </si>
  <si>
    <t>jsqp</t>
  </si>
  <si>
    <t>hvhj</t>
  </si>
  <si>
    <t>tgsp</t>
  </si>
  <si>
    <t>hbjc</t>
  </si>
  <si>
    <t>mmhg</t>
  </si>
  <si>
    <t>gfmb</t>
  </si>
  <si>
    <t>wnzg</t>
  </si>
  <si>
    <t>wvlr</t>
  </si>
  <si>
    <t>mhgb</t>
  </si>
  <si>
    <t>hrmd</t>
  </si>
  <si>
    <t>hlsn</t>
  </si>
  <si>
    <t>bswm</t>
  </si>
  <si>
    <t>wvrm</t>
  </si>
  <si>
    <t>rjhw</t>
  </si>
  <si>
    <t>csfj</t>
  </si>
  <si>
    <t>gqdg</t>
  </si>
  <si>
    <t>mdrc</t>
  </si>
  <si>
    <t>sbfh</t>
  </si>
  <si>
    <t>gjgw</t>
  </si>
  <si>
    <t>cjpp</t>
  </si>
  <si>
    <t>hzcg</t>
  </si>
  <si>
    <t>vdwr</t>
  </si>
  <si>
    <t>pnrd</t>
  </si>
  <si>
    <t>hdjt</t>
  </si>
  <si>
    <t>qjsz</t>
  </si>
  <si>
    <t>nlrq</t>
  </si>
  <si>
    <t>cbrp</t>
  </si>
  <si>
    <t>twcm</t>
  </si>
  <si>
    <t>bswg</t>
  </si>
  <si>
    <t>thcj</t>
  </si>
  <si>
    <t>mfdb</t>
  </si>
  <si>
    <t>hhwh</t>
  </si>
  <si>
    <t>rpql</t>
  </si>
  <si>
    <t>sljl</t>
  </si>
  <si>
    <t>tfdm</t>
  </si>
  <si>
    <t>jlnj</t>
  </si>
  <si>
    <t>sgdd</t>
  </si>
  <si>
    <t>ssnq</t>
  </si>
  <si>
    <t>tvlz</t>
  </si>
  <si>
    <t>wdrq</t>
  </si>
  <si>
    <t>vrtr</t>
  </si>
  <si>
    <t>nghl</t>
  </si>
  <si>
    <t>frdq</t>
  </si>
  <si>
    <t>tbhd</t>
  </si>
  <si>
    <t>tlwm</t>
  </si>
  <si>
    <t>gsft</t>
  </si>
  <si>
    <t>rwwc</t>
  </si>
  <si>
    <t>llmq</t>
  </si>
  <si>
    <t>sqrv</t>
  </si>
  <si>
    <t>tchr</t>
  </si>
  <si>
    <t>dwsw</t>
  </si>
  <si>
    <t>bfnm</t>
  </si>
  <si>
    <t>mqqs</t>
  </si>
  <si>
    <t>bvst</t>
  </si>
  <si>
    <t>hbns</t>
  </si>
  <si>
    <t>czbj</t>
  </si>
  <si>
    <t>zcvz</t>
  </si>
  <si>
    <t>qsrh</t>
  </si>
  <si>
    <t>hcbm</t>
  </si>
  <si>
    <t>zbmw</t>
  </si>
  <si>
    <t>fgcp</t>
  </si>
  <si>
    <t>sctg</t>
  </si>
  <si>
    <t>ftpg</t>
  </si>
  <si>
    <t>vrwm</t>
  </si>
  <si>
    <t>nfjp</t>
  </si>
  <si>
    <t>qqlr</t>
  </si>
  <si>
    <t>lzdp</t>
  </si>
  <si>
    <t>zctw</t>
  </si>
  <si>
    <t>drqv</t>
  </si>
  <si>
    <t>zwcs</t>
  </si>
  <si>
    <t>djcf</t>
  </si>
  <si>
    <t>fhzl</t>
  </si>
  <si>
    <t>rfwp</t>
  </si>
  <si>
    <t>gdnj</t>
  </si>
  <si>
    <t>gdzh</t>
  </si>
  <si>
    <t>cgnt</t>
  </si>
  <si>
    <t>czhr</t>
  </si>
  <si>
    <t>gdnl</t>
  </si>
  <si>
    <t>jtph</t>
  </si>
  <si>
    <t>hjrw</t>
  </si>
  <si>
    <t>fzgw</t>
  </si>
  <si>
    <t>tqtg</t>
  </si>
  <si>
    <t>mdqc</t>
  </si>
  <si>
    <t>smvw</t>
  </si>
  <si>
    <t>pjjv</t>
  </si>
  <si>
    <t>bctr</t>
  </si>
  <si>
    <t>pcvp</t>
  </si>
  <si>
    <t>jsfb</t>
  </si>
  <si>
    <t>gblb</t>
  </si>
  <si>
    <t>szsh</t>
  </si>
  <si>
    <t>zdqz</t>
  </si>
  <si>
    <t>jjbd</t>
  </si>
  <si>
    <t>ncfz</t>
  </si>
  <si>
    <t>qzmv</t>
  </si>
  <si>
    <t>zzhl</t>
  </si>
  <si>
    <t>szsj</t>
  </si>
  <si>
    <t>jhpr</t>
  </si>
  <si>
    <t>tvnp</t>
  </si>
  <si>
    <t>dqmj</t>
  </si>
  <si>
    <t>hggm</t>
  </si>
  <si>
    <t>vvsm</t>
  </si>
  <si>
    <t>mzcr</t>
  </si>
  <si>
    <t>qgdc</t>
  </si>
  <si>
    <t>jrzs</t>
  </si>
  <si>
    <t>clwf</t>
  </si>
  <si>
    <t>tmsh</t>
  </si>
  <si>
    <t>fmhr</t>
  </si>
  <si>
    <t>npvb</t>
  </si>
  <si>
    <t>ffbt</t>
  </si>
  <si>
    <t>llcr</t>
  </si>
  <si>
    <t>pdfq</t>
  </si>
  <si>
    <t>fvqt</t>
  </si>
  <si>
    <t>qhvb</t>
  </si>
  <si>
    <t>nsjg</t>
  </si>
  <si>
    <t>rznv</t>
  </si>
  <si>
    <t>zbjp</t>
  </si>
  <si>
    <t>chgv</t>
  </si>
  <si>
    <t>lcwp</t>
  </si>
  <si>
    <t>dqvf</t>
  </si>
  <si>
    <t>jwnj</t>
  </si>
  <si>
    <t>dfsh</t>
  </si>
  <si>
    <t>blhm</t>
  </si>
  <si>
    <t>qtwt</t>
  </si>
  <si>
    <t>jcqs</t>
  </si>
  <si>
    <t>cnpl</t>
  </si>
  <si>
    <t>qvzf</t>
  </si>
  <si>
    <t>rtrc</t>
  </si>
  <si>
    <t>tldj</t>
  </si>
  <si>
    <t>fjrw</t>
  </si>
  <si>
    <t>frrv</t>
  </si>
  <si>
    <t>qhwt</t>
  </si>
  <si>
    <t>zmnz</t>
  </si>
  <si>
    <t>prgp</t>
  </si>
  <si>
    <t>dlfn</t>
  </si>
  <si>
    <t>mglh</t>
  </si>
  <si>
    <t>tmrv</t>
  </si>
  <si>
    <t>lbbb</t>
  </si>
  <si>
    <t>lsmc</t>
  </si>
  <si>
    <t>jssw</t>
  </si>
  <si>
    <t>lvnq</t>
  </si>
  <si>
    <t>cgnd</t>
  </si>
  <si>
    <t>jhjh</t>
  </si>
  <si>
    <t>tpwm</t>
  </si>
  <si>
    <t>zsdf</t>
  </si>
  <si>
    <t>chwl</t>
  </si>
  <si>
    <t>sscm</t>
  </si>
  <si>
    <t>pnjv</t>
  </si>
  <si>
    <t>bffv</t>
  </si>
  <si>
    <t>gbnd</t>
  </si>
  <si>
    <t>ljcm</t>
  </si>
  <si>
    <t>mbtc</t>
  </si>
  <si>
    <t>slcg</t>
  </si>
  <si>
    <t>pzmr</t>
  </si>
  <si>
    <t>vcgm</t>
  </si>
  <si>
    <t>bgsz</t>
  </si>
  <si>
    <t>lphm</t>
  </si>
  <si>
    <t>lgpq</t>
  </si>
  <si>
    <t>qrrv</t>
  </si>
  <si>
    <t>csbn</t>
  </si>
  <si>
    <t>fccn</t>
  </si>
  <si>
    <t>pvsc</t>
  </si>
  <si>
    <t>mjgz</t>
  </si>
  <si>
    <t>nwvt</t>
  </si>
  <si>
    <t>mzrj</t>
  </si>
  <si>
    <t>prml</t>
  </si>
  <si>
    <t>bvlv</t>
  </si>
  <si>
    <t>ztjg</t>
  </si>
  <si>
    <t>twmw</t>
  </si>
  <si>
    <t>gphq</t>
  </si>
  <si>
    <t>wzws</t>
  </si>
  <si>
    <t>crdq</t>
  </si>
  <si>
    <t>jbwl</t>
  </si>
  <si>
    <t>wtjz</t>
  </si>
  <si>
    <t>gnpd</t>
  </si>
  <si>
    <t>rbrw</t>
  </si>
  <si>
    <t>zwbm</t>
  </si>
  <si>
    <t>dqpr</t>
  </si>
  <si>
    <t>lmlf</t>
  </si>
  <si>
    <t>pwld</t>
  </si>
  <si>
    <t>rhvj</t>
  </si>
  <si>
    <t>tmfb</t>
  </si>
  <si>
    <t>pgpg</t>
  </si>
  <si>
    <t>bdjw</t>
  </si>
  <si>
    <t>zhvc</t>
  </si>
  <si>
    <t>fzpn</t>
  </si>
  <si>
    <t>gflm</t>
  </si>
  <si>
    <t>mvsd</t>
  </si>
  <si>
    <t>smpc</t>
  </si>
  <si>
    <t>sbvg</t>
  </si>
  <si>
    <t>ztql</t>
  </si>
  <si>
    <t>drlj</t>
  </si>
  <si>
    <t>zqfs</t>
  </si>
  <si>
    <t>cvgp</t>
  </si>
  <si>
    <t>wnql</t>
  </si>
  <si>
    <t>mtpt</t>
  </si>
  <si>
    <t>jcdw</t>
  </si>
  <si>
    <t>hcmr</t>
  </si>
  <si>
    <t>bngv</t>
  </si>
  <si>
    <t>bpfj</t>
  </si>
  <si>
    <t>drhv</t>
  </si>
  <si>
    <t>hczs</t>
  </si>
  <si>
    <t>rdnw</t>
  </si>
  <si>
    <t>zmlm</t>
  </si>
  <si>
    <t>gnqp</t>
  </si>
  <si>
    <t>bltq</t>
  </si>
  <si>
    <t>cvbz</t>
  </si>
  <si>
    <t>tbwn</t>
  </si>
  <si>
    <t>grnh</t>
  </si>
  <si>
    <t>dhdh</t>
  </si>
  <si>
    <t>vbvf</t>
  </si>
  <si>
    <t>vnhj</t>
  </si>
  <si>
    <t>mbgw</t>
  </si>
  <si>
    <t>cgjm</t>
  </si>
  <si>
    <t>wvwn</t>
  </si>
  <si>
    <t>stbv</t>
  </si>
  <si>
    <t>shpg</t>
  </si>
  <si>
    <t>bdww</t>
  </si>
  <si>
    <t>cmpp</t>
  </si>
  <si>
    <t>bccv</t>
  </si>
  <si>
    <t>jczp</t>
  </si>
  <si>
    <t>jsqn</t>
  </si>
  <si>
    <t>mzwg</t>
  </si>
  <si>
    <t>vrqb</t>
  </si>
  <si>
    <t>wdnm</t>
  </si>
  <si>
    <t>qvph</t>
  </si>
  <si>
    <t>fbbh</t>
  </si>
  <si>
    <t>swqf</t>
  </si>
  <si>
    <t>wtcb</t>
  </si>
  <si>
    <t>wnvb</t>
  </si>
  <si>
    <t>tsvp</t>
  </si>
  <si>
    <t>ztsp</t>
  </si>
  <si>
    <t>lhfq</t>
  </si>
  <si>
    <t>mqlc</t>
  </si>
  <si>
    <t>ntrd</t>
  </si>
  <si>
    <t>sdqd</t>
  </si>
  <si>
    <t>dctv</t>
  </si>
  <si>
    <t>vmwv</t>
  </si>
  <si>
    <t>bdfj</t>
  </si>
  <si>
    <t>gbqz</t>
  </si>
  <si>
    <t>nrrh</t>
  </si>
  <si>
    <t>vjss</t>
  </si>
  <si>
    <t>qmdq</t>
  </si>
  <si>
    <t>sjvt</t>
  </si>
  <si>
    <t>vqdb</t>
  </si>
  <si>
    <t>zztm</t>
  </si>
  <si>
    <t>rrsb</t>
  </si>
  <si>
    <t>hzrt</t>
  </si>
  <si>
    <t>zzrg</t>
  </si>
  <si>
    <t>wvmm</t>
  </si>
  <si>
    <t>nwdn</t>
  </si>
  <si>
    <t>ptsl</t>
  </si>
  <si>
    <t>scwd</t>
  </si>
  <si>
    <t>gvjm</t>
  </si>
  <si>
    <t>hhzp</t>
  </si>
  <si>
    <t>sqjj</t>
  </si>
  <si>
    <t>qwfc</t>
  </si>
  <si>
    <t>snbt</t>
  </si>
  <si>
    <t>mlcw</t>
  </si>
  <si>
    <t>hfbb</t>
  </si>
  <si>
    <t>tszl</t>
  </si>
  <si>
    <t>vljf</t>
  </si>
  <si>
    <t>ztbg</t>
  </si>
  <si>
    <t>vcvh</t>
  </si>
  <si>
    <t>fsbd</t>
  </si>
  <si>
    <t>zqqs</t>
  </si>
  <si>
    <t>gmbg</t>
  </si>
  <si>
    <t>pjpp</t>
  </si>
  <si>
    <t>jhjf</t>
  </si>
  <si>
    <t>bntt</t>
  </si>
  <si>
    <t>hpwf</t>
  </si>
  <si>
    <t>nrsw</t>
  </si>
  <si>
    <t>zplw</t>
  </si>
  <si>
    <t>nnnz</t>
  </si>
  <si>
    <t>jqff</t>
  </si>
  <si>
    <t>qvvn</t>
  </si>
  <si>
    <t>gndt</t>
  </si>
  <si>
    <t>wdwr</t>
  </si>
  <si>
    <t>dzzc</t>
  </si>
  <si>
    <t>jnbr</t>
  </si>
  <si>
    <t>vvmd</t>
  </si>
  <si>
    <t>pgnd</t>
  </si>
  <si>
    <t>jddn</t>
  </si>
  <si>
    <t>ldcj</t>
  </si>
  <si>
    <t>zgvc</t>
  </si>
  <si>
    <t>dnlc</t>
  </si>
  <si>
    <t>nwcr</t>
  </si>
  <si>
    <t>ndhv</t>
  </si>
  <si>
    <t>gdfr</t>
  </si>
  <si>
    <t>fgqw</t>
  </si>
  <si>
    <t>zswn</t>
  </si>
  <si>
    <t>jrzc</t>
  </si>
  <si>
    <t>gvmd</t>
  </si>
  <si>
    <t>jcsq</t>
  </si>
  <si>
    <t>cwwf</t>
  </si>
  <si>
    <t>jfpv</t>
  </si>
  <si>
    <t>wgdz</t>
  </si>
  <si>
    <t>fhbv</t>
  </si>
  <si>
    <t>pvpm</t>
  </si>
  <si>
    <t>pfrc</t>
  </si>
  <si>
    <t>znvj</t>
  </si>
  <si>
    <t>nvbg</t>
  </si>
  <si>
    <t>nsbq</t>
  </si>
  <si>
    <t>znzl</t>
  </si>
  <si>
    <t>sdjd</t>
  </si>
  <si>
    <t>wcbp</t>
  </si>
  <si>
    <t>tvdc</t>
  </si>
  <si>
    <t>fngh</t>
  </si>
  <si>
    <t>zzwg</t>
  </si>
  <si>
    <t>bfrh</t>
  </si>
  <si>
    <t>hlht</t>
  </si>
  <si>
    <t>zrcm</t>
  </si>
  <si>
    <t>lswd</t>
  </si>
  <si>
    <t>gchc</t>
  </si>
  <si>
    <t>gnwc</t>
  </si>
  <si>
    <t>bgrd</t>
  </si>
  <si>
    <t>fhqr</t>
  </si>
  <si>
    <t>cmwh</t>
  </si>
  <si>
    <t>vvlm</t>
  </si>
  <si>
    <t>wdbm</t>
  </si>
  <si>
    <t>gwcc</t>
  </si>
  <si>
    <t>qsrf</t>
  </si>
  <si>
    <t>rhzn</t>
  </si>
  <si>
    <t>sdmp</t>
  </si>
  <si>
    <t>jvpg</t>
  </si>
  <si>
    <t>dsrn</t>
  </si>
  <si>
    <t>szwz</t>
  </si>
  <si>
    <t>tssr</t>
  </si>
  <si>
    <t>mhhf</t>
  </si>
  <si>
    <t>dgww</t>
  </si>
  <si>
    <t>cdhb</t>
  </si>
  <si>
    <t>hcpl</t>
  </si>
  <si>
    <t>vszn</t>
  </si>
  <si>
    <t>plgc</t>
  </si>
  <si>
    <t>twsc</t>
  </si>
  <si>
    <t>mzpw</t>
  </si>
  <si>
    <t>cbgb</t>
  </si>
  <si>
    <t>csqb</t>
  </si>
  <si>
    <t>fghg</t>
  </si>
  <si>
    <t>lrjz</t>
  </si>
  <si>
    <t>bcnh</t>
  </si>
  <si>
    <t>nwqb</t>
  </si>
  <si>
    <t>tqrg</t>
  </si>
  <si>
    <t>zdmp</t>
  </si>
  <si>
    <t>sbll</t>
  </si>
  <si>
    <t>lggm</t>
  </si>
  <si>
    <t>qstn</t>
  </si>
  <si>
    <t>whdr</t>
  </si>
  <si>
    <t>cprz</t>
  </si>
  <si>
    <t>ldcc</t>
  </si>
  <si>
    <t>vbbl</t>
  </si>
  <si>
    <t>nnmr</t>
  </si>
  <si>
    <t>qgmp</t>
  </si>
  <si>
    <t>ffzf</t>
  </si>
  <si>
    <t>qgbl</t>
  </si>
  <si>
    <t>lndq</t>
  </si>
  <si>
    <t>fbtd</t>
  </si>
  <si>
    <t>mssp</t>
  </si>
  <si>
    <t>mzgg</t>
  </si>
  <si>
    <t>fqrh</t>
  </si>
  <si>
    <t>zrbl</t>
  </si>
  <si>
    <t>rdzb</t>
  </si>
  <si>
    <t>ntcs</t>
  </si>
  <si>
    <t>wrnp</t>
  </si>
  <si>
    <t>mjmv</t>
  </si>
  <si>
    <t>bfrv</t>
  </si>
  <si>
    <t>tjcr</t>
  </si>
  <si>
    <t>gqvp</t>
  </si>
  <si>
    <t>wzfn</t>
  </si>
  <si>
    <t>bpqv</t>
  </si>
  <si>
    <t>zngc</t>
  </si>
  <si>
    <t>cbgc</t>
  </si>
  <si>
    <t>dlqt</t>
  </si>
  <si>
    <t>wnct</t>
  </si>
  <si>
    <t>hdpt</t>
  </si>
  <si>
    <t>fssv</t>
  </si>
  <si>
    <t>jdgm</t>
  </si>
  <si>
    <t>jnjq</t>
  </si>
  <si>
    <t>gdcj</t>
  </si>
  <si>
    <t>psww</t>
  </si>
  <si>
    <t>pftj</t>
  </si>
  <si>
    <t>lrjv</t>
  </si>
  <si>
    <t>znpv</t>
  </si>
  <si>
    <t>prjp</t>
  </si>
  <si>
    <t>rcpw</t>
  </si>
  <si>
    <t>pzlb</t>
  </si>
  <si>
    <t>hvfr</t>
  </si>
  <si>
    <t>jrld</t>
  </si>
  <si>
    <t>jcfj</t>
  </si>
  <si>
    <t>bhwv</t>
  </si>
  <si>
    <t>fhql</t>
  </si>
  <si>
    <t>rghb</t>
  </si>
  <si>
    <t>wvcs</t>
  </si>
  <si>
    <t>qzdf</t>
  </si>
  <si>
    <t>ctcp</t>
  </si>
  <si>
    <t>fwtg</t>
  </si>
  <si>
    <t>jjbm</t>
  </si>
  <si>
    <t>glqg</t>
  </si>
  <si>
    <t>qmjb</t>
  </si>
  <si>
    <t>njbp</t>
  </si>
  <si>
    <t>pcbt</t>
  </si>
  <si>
    <t>mlhs</t>
  </si>
  <si>
    <t>pndw</t>
  </si>
  <si>
    <t>qghq</t>
  </si>
  <si>
    <t>fcdf</t>
  </si>
  <si>
    <t>mpfd</t>
  </si>
  <si>
    <t>dbpp</t>
  </si>
  <si>
    <t>bfwn</t>
  </si>
  <si>
    <t>fplw</t>
  </si>
  <si>
    <t>hphz</t>
  </si>
  <si>
    <t>lmzd</t>
  </si>
  <si>
    <t>hctp</t>
  </si>
  <si>
    <t>mbbj</t>
  </si>
  <si>
    <t>dlzm</t>
  </si>
  <si>
    <t>qsfb</t>
  </si>
  <si>
    <t>llzw</t>
  </si>
  <si>
    <t>wrfn</t>
  </si>
  <si>
    <t>fmnv</t>
  </si>
  <si>
    <t>nhtd</t>
  </si>
  <si>
    <t>cvdp</t>
  </si>
  <si>
    <t>shcz</t>
  </si>
  <si>
    <t>rcrv</t>
  </si>
  <si>
    <t>fmds</t>
  </si>
  <si>
    <t>nzhv</t>
  </si>
  <si>
    <t>zrvn</t>
  </si>
  <si>
    <t>prvz</t>
  </si>
  <si>
    <t>wvwh</t>
  </si>
  <si>
    <t>qccb</t>
  </si>
  <si>
    <t>sjrj</t>
  </si>
  <si>
    <t>hcsn</t>
  </si>
  <si>
    <t>lpfg</t>
  </si>
  <si>
    <t>tttq</t>
  </si>
  <si>
    <t>rvqw</t>
  </si>
  <si>
    <t>zqsq</t>
  </si>
  <si>
    <t>dngr</t>
  </si>
  <si>
    <t>pgnh</t>
  </si>
  <si>
    <t>csgs</t>
  </si>
  <si>
    <t>cwht</t>
  </si>
  <si>
    <t>wwvv</t>
  </si>
  <si>
    <t>mqnf</t>
  </si>
  <si>
    <t>ldnh</t>
  </si>
  <si>
    <t>svfq</t>
  </si>
  <si>
    <t>nmjh</t>
  </si>
  <si>
    <t>bmdc</t>
  </si>
  <si>
    <t>bfnc</t>
  </si>
  <si>
    <t>cwvm</t>
  </si>
  <si>
    <t>jtwm</t>
  </si>
  <si>
    <t>bgrl</t>
  </si>
  <si>
    <t>vfmb</t>
  </si>
  <si>
    <t>jrnr</t>
  </si>
  <si>
    <t>hdnn</t>
  </si>
  <si>
    <t>ttsh</t>
  </si>
  <si>
    <t>pbzw</t>
  </si>
  <si>
    <t>gfzs</t>
  </si>
  <si>
    <t>pctv</t>
  </si>
  <si>
    <t>rnlj</t>
  </si>
  <si>
    <t>gwrb</t>
  </si>
  <si>
    <t>tbrw</t>
  </si>
  <si>
    <t>wbqs</t>
  </si>
  <si>
    <t>tmcp</t>
  </si>
  <si>
    <t>zgqm</t>
  </si>
  <si>
    <t>qrwj</t>
  </si>
  <si>
    <t>tzcn</t>
  </si>
  <si>
    <t>cwff</t>
  </si>
  <si>
    <t>tqdc</t>
  </si>
  <si>
    <t>vhns</t>
  </si>
  <si>
    <t>qgbp</t>
  </si>
  <si>
    <t>hvqz</t>
  </si>
  <si>
    <t>pfph</t>
  </si>
  <si>
    <t>pvqq</t>
  </si>
  <si>
    <t>swng</t>
  </si>
  <si>
    <t>vscz</t>
  </si>
  <si>
    <t>tfpc</t>
  </si>
  <si>
    <t>jpdt</t>
  </si>
  <si>
    <t>dmcb</t>
  </si>
  <si>
    <t>mfjv</t>
  </si>
  <si>
    <t>fgcz</t>
  </si>
  <si>
    <t>wzjb</t>
  </si>
  <si>
    <t>pfsv</t>
  </si>
  <si>
    <t>mjrf</t>
  </si>
  <si>
    <t>chsw</t>
  </si>
  <si>
    <t>fbvd</t>
  </si>
  <si>
    <t>twzm</t>
  </si>
  <si>
    <t>zbhz</t>
  </si>
  <si>
    <t>qdhs</t>
  </si>
  <si>
    <t>pcmd</t>
  </si>
  <si>
    <t>chbn</t>
  </si>
  <si>
    <t>hzhr</t>
  </si>
  <si>
    <t>nnqd</t>
  </si>
  <si>
    <t>ttff</t>
  </si>
  <si>
    <t>qhvt</t>
  </si>
  <si>
    <t>grgs</t>
  </si>
  <si>
    <t>jqdw</t>
  </si>
  <si>
    <t>dftz</t>
  </si>
  <si>
    <t>zhlb</t>
  </si>
  <si>
    <t>fbbj</t>
  </si>
  <si>
    <t>jnqr</t>
  </si>
  <si>
    <t>qdcn</t>
  </si>
  <si>
    <t>mmlh</t>
  </si>
  <si>
    <t>wjtd</t>
  </si>
  <si>
    <t>zwhd</t>
  </si>
  <si>
    <t>lhcg</t>
  </si>
  <si>
    <t>zgtr</t>
  </si>
  <si>
    <t>fppn</t>
  </si>
  <si>
    <t>szlw</t>
  </si>
  <si>
    <t>lrsm</t>
  </si>
  <si>
    <t>sdwr</t>
  </si>
  <si>
    <t>jshj</t>
  </si>
  <si>
    <t>zthq</t>
  </si>
  <si>
    <t>hwbw</t>
  </si>
  <si>
    <t>lqht</t>
  </si>
  <si>
    <t>lqjf</t>
  </si>
  <si>
    <t>gqgj</t>
  </si>
  <si>
    <t>vbdd</t>
  </si>
  <si>
    <t>nfzd</t>
  </si>
  <si>
    <t>tdcc</t>
  </si>
  <si>
    <t>mqrc</t>
  </si>
  <si>
    <t>qlrf</t>
  </si>
  <si>
    <t>lzvn</t>
  </si>
  <si>
    <t>gqqr</t>
  </si>
  <si>
    <t>brlz</t>
  </si>
  <si>
    <t>vhbl</t>
  </si>
  <si>
    <t>cfch</t>
  </si>
  <si>
    <t>jppq</t>
  </si>
  <si>
    <t>vbsv</t>
  </si>
  <si>
    <t>jsqt</t>
  </si>
  <si>
    <t>cpjn</t>
  </si>
  <si>
    <t>gvht</t>
  </si>
  <si>
    <t>czqn</t>
  </si>
  <si>
    <t>nrdv</t>
  </si>
  <si>
    <t>mqbf</t>
  </si>
  <si>
    <t>zpsb</t>
  </si>
  <si>
    <t>qlbs</t>
  </si>
  <si>
    <t>qpwv</t>
  </si>
  <si>
    <t>zjps</t>
  </si>
  <si>
    <t>hglp</t>
  </si>
  <si>
    <t>npnv</t>
  </si>
  <si>
    <t>plgj</t>
  </si>
  <si>
    <t>flwb</t>
  </si>
  <si>
    <t>mlrb</t>
  </si>
  <si>
    <t>ldgh</t>
  </si>
  <si>
    <t>vhrc</t>
  </si>
  <si>
    <t>hcnv</t>
  </si>
  <si>
    <t>mmcp</t>
  </si>
  <si>
    <t>glmd</t>
  </si>
  <si>
    <t>dgsn</t>
  </si>
  <si>
    <t>gsqp</t>
  </si>
  <si>
    <t>dphh</t>
  </si>
  <si>
    <t>jlvt</t>
  </si>
  <si>
    <t>mfdn</t>
  </si>
  <si>
    <t>rcdh</t>
  </si>
  <si>
    <t>hrvv</t>
  </si>
  <si>
    <t>vfzt</t>
  </si>
  <si>
    <t>zlfm</t>
  </si>
  <si>
    <t>mnqf</t>
  </si>
  <si>
    <t>ftqp</t>
  </si>
  <si>
    <t>mhgd</t>
  </si>
  <si>
    <t>tgvg</t>
  </si>
  <si>
    <t>vrjq</t>
  </si>
  <si>
    <t>fbrs</t>
  </si>
  <si>
    <t>hpbc</t>
  </si>
  <si>
    <t>trzt</t>
  </si>
  <si>
    <t>zrqw</t>
  </si>
  <si>
    <t>wjbf</t>
  </si>
  <si>
    <t>vbth</t>
  </si>
  <si>
    <t>gbrr</t>
  </si>
  <si>
    <t>gzww</t>
  </si>
  <si>
    <t>zszf</t>
  </si>
  <si>
    <t>bbjq</t>
  </si>
  <si>
    <t>qrgw</t>
  </si>
  <si>
    <t>wfbz</t>
  </si>
  <si>
    <t>gqpp</t>
  </si>
  <si>
    <t>dttn</t>
  </si>
  <si>
    <t>qlst</t>
  </si>
  <si>
    <t>wvml</t>
  </si>
  <si>
    <t>bdvv</t>
  </si>
  <si>
    <t>frlb</t>
  </si>
  <si>
    <t>qwvl</t>
  </si>
  <si>
    <t>fwlb</t>
  </si>
  <si>
    <t>bbnq</t>
  </si>
  <si>
    <t>tbdp</t>
  </si>
  <si>
    <t>lscw</t>
  </si>
  <si>
    <t>hqnr</t>
  </si>
  <si>
    <t>sdpr</t>
  </si>
  <si>
    <t>qqwg</t>
  </si>
  <si>
    <t>jpzq</t>
  </si>
  <si>
    <t>rshj</t>
  </si>
  <si>
    <t>llvf</t>
  </si>
  <si>
    <t>qgnj</t>
  </si>
  <si>
    <t>mdcb</t>
  </si>
  <si>
    <t>gdqd</t>
  </si>
  <si>
    <t>ctth</t>
  </si>
  <si>
    <t>qcsg</t>
  </si>
  <si>
    <t>gljs</t>
  </si>
  <si>
    <t>sqff</t>
  </si>
  <si>
    <t>vftv</t>
  </si>
  <si>
    <t>dmbg</t>
  </si>
  <si>
    <t>hzhf</t>
  </si>
  <si>
    <t>dbth</t>
  </si>
  <si>
    <t>vpdv</t>
  </si>
  <si>
    <t>tblp</t>
  </si>
  <si>
    <t>hzsg</t>
  </si>
  <si>
    <t>njbt</t>
  </si>
  <si>
    <t>fths</t>
  </si>
  <si>
    <t>clpj</t>
  </si>
  <si>
    <t>nqsh</t>
  </si>
  <si>
    <t>ljpc</t>
  </si>
  <si>
    <t>zhjf</t>
  </si>
  <si>
    <t>vpjz</t>
  </si>
  <si>
    <t>djpg</t>
  </si>
  <si>
    <t>gwfq</t>
  </si>
  <si>
    <t>djtd</t>
  </si>
  <si>
    <t>dslr</t>
  </si>
  <si>
    <t>vlqj</t>
  </si>
  <si>
    <t>msht</t>
  </si>
  <si>
    <t>gwjm</t>
  </si>
  <si>
    <t>pblw</t>
  </si>
  <si>
    <t>mcsm</t>
  </si>
  <si>
    <t>fdmh</t>
  </si>
  <si>
    <t>lnsn</t>
  </si>
  <si>
    <t>gtfz</t>
  </si>
  <si>
    <t>mchl</t>
  </si>
  <si>
    <t>phdl</t>
  </si>
  <si>
    <t>tgvf</t>
  </si>
  <si>
    <t>pplm</t>
  </si>
  <si>
    <t>wphd</t>
  </si>
  <si>
    <t>jzps</t>
  </si>
  <si>
    <t>bdvw</t>
  </si>
  <si>
    <t>fvqm</t>
  </si>
  <si>
    <t>htqw</t>
  </si>
  <si>
    <t>lzqv</t>
  </si>
  <si>
    <t>jvtr</t>
  </si>
  <si>
    <t>srmg</t>
  </si>
  <si>
    <t>mwgw</t>
  </si>
  <si>
    <t>fbls</t>
  </si>
  <si>
    <t>rfbj</t>
  </si>
  <si>
    <t>bgsw</t>
  </si>
  <si>
    <t>dllv</t>
  </si>
  <si>
    <t>pjsw</t>
  </si>
  <si>
    <t>jjwr</t>
  </si>
  <si>
    <t>bjnp</t>
  </si>
  <si>
    <t>dpsp</t>
  </si>
  <si>
    <t>jpbs</t>
  </si>
  <si>
    <t>ftnw</t>
  </si>
  <si>
    <t>nsvp</t>
  </si>
  <si>
    <t>nszr</t>
  </si>
  <si>
    <t>sjcj</t>
  </si>
  <si>
    <t>wglt</t>
  </si>
  <si>
    <t>rlzn</t>
  </si>
  <si>
    <t>hjsw</t>
  </si>
  <si>
    <t>jsfs</t>
  </si>
  <si>
    <t>vdgf</t>
  </si>
  <si>
    <t>vrjr</t>
  </si>
  <si>
    <t>lnrd</t>
  </si>
  <si>
    <t>wvfw</t>
  </si>
  <si>
    <t>pwdp</t>
  </si>
  <si>
    <t>lvtd</t>
  </si>
  <si>
    <t>crpp</t>
  </si>
  <si>
    <t>qmwm</t>
  </si>
  <si>
    <t>hqjz</t>
  </si>
  <si>
    <t>cmhd</t>
  </si>
  <si>
    <t>wgpl</t>
  </si>
  <si>
    <t>mzpv</t>
  </si>
  <si>
    <t>pvzz</t>
  </si>
  <si>
    <t>mbrr</t>
  </si>
  <si>
    <t>gmnw</t>
  </si>
  <si>
    <t>jqfq</t>
  </si>
  <si>
    <t>nvmp</t>
  </si>
  <si>
    <t>bdds</t>
  </si>
  <si>
    <t>hqmn</t>
  </si>
  <si>
    <t>vhjv</t>
  </si>
  <si>
    <t>nctq</t>
  </si>
  <si>
    <t>qrcf</t>
  </si>
  <si>
    <t>gqtt</t>
  </si>
  <si>
    <t>mhnb</t>
  </si>
  <si>
    <t>rlhc</t>
  </si>
  <si>
    <t>pnhw</t>
  </si>
  <si>
    <t>fswg</t>
  </si>
  <si>
    <t>ffdb</t>
  </si>
  <si>
    <t>fnpv</t>
  </si>
  <si>
    <t>zvjg</t>
  </si>
  <si>
    <t>mljz</t>
  </si>
  <si>
    <t>tsmb</t>
  </si>
  <si>
    <t>gczs</t>
  </si>
  <si>
    <t>wdlg</t>
  </si>
  <si>
    <t>zqjs</t>
  </si>
  <si>
    <t>qzcq</t>
  </si>
  <si>
    <t>phjq</t>
  </si>
  <si>
    <t>zmqb</t>
  </si>
  <si>
    <t>qdgc</t>
  </si>
  <si>
    <t>vjph</t>
  </si>
  <si>
    <t>mchq</t>
  </si>
  <si>
    <t>stpv</t>
  </si>
  <si>
    <t>qqlq</t>
  </si>
  <si>
    <t>pwmf</t>
  </si>
  <si>
    <t>srtj</t>
  </si>
  <si>
    <t>fvhj</t>
  </si>
  <si>
    <t>pbfd</t>
  </si>
  <si>
    <t>przd</t>
  </si>
  <si>
    <t>hnhp</t>
  </si>
  <si>
    <t>tpbt</t>
  </si>
  <si>
    <t>jnhg</t>
  </si>
  <si>
    <t>hphq</t>
  </si>
  <si>
    <t>nbft</t>
  </si>
  <si>
    <t>bmmc</t>
  </si>
  <si>
    <t>lrvl</t>
  </si>
  <si>
    <t>ssph</t>
  </si>
  <si>
    <t>fhqm</t>
  </si>
  <si>
    <t>dnzn</t>
  </si>
  <si>
    <t>fvjt</t>
  </si>
  <si>
    <t>qcjd</t>
  </si>
  <si>
    <t>stsc</t>
  </si>
  <si>
    <t>ncgq</t>
  </si>
  <si>
    <t>hlcm</t>
  </si>
  <si>
    <t>hnmm</t>
  </si>
  <si>
    <t>bwcw</t>
  </si>
  <si>
    <t>bhdt</t>
  </si>
  <si>
    <t>fbpq</t>
  </si>
  <si>
    <t>rmfd</t>
  </si>
  <si>
    <t>fshs</t>
  </si>
  <si>
    <t>bncl</t>
  </si>
  <si>
    <t>bhjr</t>
  </si>
  <si>
    <t>hhnt</t>
  </si>
  <si>
    <t>mqsc</t>
  </si>
  <si>
    <t>qjlm</t>
  </si>
  <si>
    <t>fvpc</t>
  </si>
  <si>
    <t>cfzt</t>
  </si>
  <si>
    <t>pvgh</t>
  </si>
  <si>
    <t>dqpj</t>
  </si>
  <si>
    <t>nttm</t>
  </si>
  <si>
    <t>frjf</t>
  </si>
  <si>
    <t>hmcv</t>
  </si>
  <si>
    <t>blmj</t>
  </si>
  <si>
    <t>hmls</t>
  </si>
  <si>
    <t>gblc</t>
  </si>
  <si>
    <t>jcwp</t>
  </si>
  <si>
    <t>dbzz</t>
  </si>
  <si>
    <t>fcbn</t>
  </si>
  <si>
    <t>vshb</t>
  </si>
  <si>
    <t>hcmh</t>
  </si>
  <si>
    <t>hzzp</t>
  </si>
  <si>
    <t>zgdm</t>
  </si>
  <si>
    <t>svmn</t>
  </si>
  <si>
    <t>drsb</t>
  </si>
  <si>
    <t>qcfr</t>
  </si>
  <si>
    <t>hnlt</t>
  </si>
  <si>
    <t>qspl</t>
  </si>
  <si>
    <t>ncdw</t>
  </si>
  <si>
    <t>tfcr</t>
  </si>
  <si>
    <t>qzqz</t>
  </si>
  <si>
    <t>bnzz</t>
  </si>
  <si>
    <t>tsjb</t>
  </si>
  <si>
    <t>wtnb</t>
  </si>
  <si>
    <t>nnnd</t>
  </si>
  <si>
    <t>czwl</t>
  </si>
  <si>
    <t>vbwd</t>
  </si>
  <si>
    <t>jfqj</t>
  </si>
  <si>
    <t>zwnj</t>
  </si>
  <si>
    <t>tsdg</t>
  </si>
  <si>
    <t>hhdm</t>
  </si>
  <si>
    <t>nltz</t>
  </si>
  <si>
    <t>bfbz</t>
  </si>
  <si>
    <t>nzvf</t>
  </si>
  <si>
    <t>prhh</t>
  </si>
  <si>
    <t>czhh</t>
  </si>
  <si>
    <t>ndzz</t>
  </si>
  <si>
    <t>wrrn</t>
  </si>
  <si>
    <t>ptcg</t>
  </si>
  <si>
    <t>djbg</t>
  </si>
  <si>
    <t>hbnm</t>
  </si>
  <si>
    <t>rrdq</t>
  </si>
  <si>
    <t>rfcz</t>
  </si>
  <si>
    <t>hbmp</t>
  </si>
  <si>
    <t>sppm</t>
  </si>
  <si>
    <t>snng</t>
  </si>
  <si>
    <t>mcnt</t>
  </si>
  <si>
    <t>ncnp</t>
  </si>
  <si>
    <t>znnj</t>
  </si>
  <si>
    <t>bzfj</t>
  </si>
  <si>
    <t>qlrw</t>
  </si>
  <si>
    <t>nhfm</t>
  </si>
  <si>
    <t>vdpq</t>
  </si>
  <si>
    <t>jhpf</t>
  </si>
  <si>
    <t>hvjj</t>
  </si>
  <si>
    <t>fhlm</t>
  </si>
  <si>
    <t>vndh</t>
  </si>
  <si>
    <t>mvbv</t>
  </si>
  <si>
    <t>mcvf</t>
  </si>
  <si>
    <t>jwwr</t>
  </si>
  <si>
    <t>lgst</t>
  </si>
  <si>
    <t>vrvr</t>
  </si>
  <si>
    <t>mdlm</t>
  </si>
  <si>
    <t>vjvn</t>
  </si>
  <si>
    <t>mrbb</t>
  </si>
  <si>
    <t>vhdh</t>
  </si>
  <si>
    <t>qnqp</t>
  </si>
  <si>
    <t>pcpr</t>
  </si>
  <si>
    <t>qlfn</t>
  </si>
  <si>
    <t>wstm</t>
  </si>
  <si>
    <t>thqs</t>
  </si>
  <si>
    <t>bjgh</t>
  </si>
  <si>
    <t>fqmr</t>
  </si>
  <si>
    <t>blbw</t>
  </si>
  <si>
    <t>tqft</t>
  </si>
  <si>
    <t>mhfc</t>
  </si>
  <si>
    <t>wzgl</t>
  </si>
  <si>
    <t>bjbd</t>
  </si>
  <si>
    <t>lllf</t>
  </si>
  <si>
    <t>cqwn</t>
  </si>
  <si>
    <t>rvnc</t>
  </si>
  <si>
    <t>hwln</t>
  </si>
  <si>
    <t>pphc</t>
  </si>
  <si>
    <t>gmbw</t>
  </si>
  <si>
    <t>gslc</t>
  </si>
  <si>
    <t>jhgf</t>
  </si>
  <si>
    <t>qvqq</t>
  </si>
  <si>
    <t>bgsq</t>
  </si>
  <si>
    <t>trbp</t>
  </si>
  <si>
    <t>drlm</t>
  </si>
  <si>
    <t>bzqz</t>
  </si>
  <si>
    <t>lpjt</t>
  </si>
  <si>
    <t>pcgj</t>
  </si>
  <si>
    <t>zhfd</t>
  </si>
  <si>
    <t>cmfn</t>
  </si>
  <si>
    <t>ctmg</t>
  </si>
  <si>
    <t>hbmr</t>
  </si>
  <si>
    <t>tptq</t>
  </si>
  <si>
    <t>btgt</t>
  </si>
  <si>
    <t>ggnb</t>
  </si>
  <si>
    <t>lwpm</t>
  </si>
  <si>
    <t>fglt</t>
  </si>
  <si>
    <t>jnzm</t>
  </si>
  <si>
    <t>wzjj</t>
  </si>
  <si>
    <t>pwdz</t>
  </si>
  <si>
    <t>nhfg</t>
  </si>
  <si>
    <t>lhml</t>
  </si>
  <si>
    <t>hcfq</t>
  </si>
  <si>
    <t>qlbt</t>
  </si>
  <si>
    <t>fnvn</t>
  </si>
  <si>
    <t>qrhf</t>
  </si>
  <si>
    <t>ffvh</t>
  </si>
  <si>
    <t>pvlz</t>
  </si>
  <si>
    <t>tnvn</t>
  </si>
  <si>
    <t>vgbd</t>
  </si>
  <si>
    <t>npct</t>
  </si>
  <si>
    <t>hqbr</t>
  </si>
  <si>
    <t>mhmt</t>
  </si>
  <si>
    <t>jpvw</t>
  </si>
  <si>
    <t>pqcp</t>
  </si>
  <si>
    <t>vzgl</t>
  </si>
  <si>
    <t>mmqs</t>
  </si>
  <si>
    <t>pwdf</t>
  </si>
  <si>
    <t>wmbh</t>
  </si>
  <si>
    <t>wzwp</t>
  </si>
  <si>
    <t>nncr</t>
  </si>
  <si>
    <t>djzn</t>
  </si>
  <si>
    <t>mqqt</t>
  </si>
  <si>
    <t>rbzj</t>
  </si>
  <si>
    <t>jnbd</t>
  </si>
  <si>
    <t>cjzt</t>
  </si>
  <si>
    <t>rzzf</t>
  </si>
  <si>
    <t>vfbb</t>
  </si>
  <si>
    <t>djgb</t>
  </si>
  <si>
    <t>cpfb</t>
  </si>
  <si>
    <t>jpzn</t>
  </si>
  <si>
    <t>dslt</t>
  </si>
  <si>
    <t>qbgz</t>
  </si>
  <si>
    <t>hfnn</t>
  </si>
  <si>
    <t>bsvd</t>
  </si>
  <si>
    <t>lbzl</t>
  </si>
  <si>
    <t>qgrd</t>
  </si>
  <si>
    <t>lttd</t>
  </si>
  <si>
    <t>dtdq</t>
  </si>
  <si>
    <t>pzfd</t>
  </si>
  <si>
    <t>bffq</t>
  </si>
  <si>
    <t>jczr</t>
  </si>
  <si>
    <t>smqr</t>
  </si>
  <si>
    <t>hqbt</t>
  </si>
  <si>
    <t>rdpp</t>
  </si>
  <si>
    <t>npmd</t>
  </si>
  <si>
    <t>mnrs</t>
  </si>
  <si>
    <t>vgqr</t>
  </si>
  <si>
    <t>ggzt</t>
  </si>
  <si>
    <t>fqrj</t>
  </si>
  <si>
    <t>stcj</t>
  </si>
  <si>
    <t>nfgw</t>
  </si>
  <si>
    <t>zbbs</t>
  </si>
  <si>
    <t>zhqf</t>
  </si>
  <si>
    <t>prcs</t>
  </si>
  <si>
    <t>jqjm</t>
  </si>
  <si>
    <t>dnsg</t>
  </si>
  <si>
    <t>mnrh</t>
  </si>
  <si>
    <t>npzq</t>
  </si>
  <si>
    <t>hqhv</t>
  </si>
  <si>
    <t>ggjg</t>
  </si>
  <si>
    <t>dzdr</t>
  </si>
  <si>
    <t>zhqv</t>
  </si>
  <si>
    <t>humn</t>
  </si>
  <si>
    <t>wffm</t>
  </si>
  <si>
    <t>pztq</t>
  </si>
  <si>
    <t>rfmb</t>
  </si>
  <si>
    <t>dpwl</t>
  </si>
  <si>
    <t>pspv</t>
  </si>
  <si>
    <t>lhpg</t>
  </si>
  <si>
    <t>mvvt</t>
  </si>
  <si>
    <t>ntnd</t>
  </si>
  <si>
    <t>tgtn</t>
  </si>
  <si>
    <t>zftc</t>
  </si>
  <si>
    <t>ccds</t>
  </si>
  <si>
    <t>gcln</t>
  </si>
  <si>
    <t>znrf</t>
  </si>
  <si>
    <t>tbpn</t>
  </si>
  <si>
    <t>wgqp</t>
  </si>
  <si>
    <t>cljq</t>
  </si>
  <si>
    <t>hrgg</t>
  </si>
  <si>
    <t>lctb</t>
  </si>
  <si>
    <t>tgsc</t>
  </si>
  <si>
    <t>zwrr</t>
  </si>
  <si>
    <t>llhf</t>
  </si>
  <si>
    <t>zfrm</t>
  </si>
  <si>
    <t>fmjc</t>
  </si>
  <si>
    <t>dtcf</t>
  </si>
  <si>
    <t>hcts</t>
  </si>
  <si>
    <t>jcpj</t>
  </si>
  <si>
    <t>tbmd</t>
  </si>
  <si>
    <t>rfrm</t>
  </si>
  <si>
    <t>mffn</t>
  </si>
  <si>
    <t>tltn</t>
  </si>
  <si>
    <t>msnd</t>
  </si>
  <si>
    <t>srsl</t>
  </si>
  <si>
    <t>slmh</t>
  </si>
  <si>
    <t>rfcv</t>
  </si>
  <si>
    <t>spbn</t>
  </si>
  <si>
    <t>lgln</t>
  </si>
  <si>
    <t>cszj</t>
  </si>
  <si>
    <t>scbt</t>
  </si>
  <si>
    <t>pqrq</t>
  </si>
  <si>
    <t>lfrm</t>
  </si>
  <si>
    <t>mqcr</t>
  </si>
  <si>
    <t>vrgz</t>
  </si>
  <si>
    <t>bqqd</t>
  </si>
  <si>
    <t>qrgh</t>
  </si>
  <si>
    <t>ssng</t>
  </si>
  <si>
    <t>rpln</t>
  </si>
  <si>
    <t>lvcn</t>
  </si>
  <si>
    <t>vqmc</t>
  </si>
  <si>
    <t>tchh</t>
  </si>
  <si>
    <t>hlqd</t>
  </si>
  <si>
    <t>bmjc</t>
  </si>
  <si>
    <t>vlzm</t>
  </si>
  <si>
    <t>hzgc</t>
  </si>
  <si>
    <t>zmcn</t>
  </si>
  <si>
    <t>psmc</t>
  </si>
  <si>
    <t>ggrf</t>
  </si>
  <si>
    <t>qqnl</t>
  </si>
  <si>
    <t>fsqc</t>
  </si>
  <si>
    <t>gdqr</t>
  </si>
  <si>
    <t>jgfp</t>
  </si>
  <si>
    <t>nhpc</t>
  </si>
  <si>
    <t>hfmd</t>
  </si>
  <si>
    <t>qlhv</t>
  </si>
  <si>
    <t>fsgb</t>
  </si>
  <si>
    <t>nrnq</t>
  </si>
  <si>
    <t>gzfn</t>
  </si>
  <si>
    <t>spnp</t>
  </si>
  <si>
    <t>rnpf</t>
  </si>
  <si>
    <t>hvtr</t>
  </si>
  <si>
    <t>brzp</t>
  </si>
  <si>
    <t>wrrz</t>
  </si>
  <si>
    <t>dccf</t>
  </si>
  <si>
    <t>vhqf</t>
  </si>
  <si>
    <t>gnzn</t>
  </si>
  <si>
    <t>bgqf</t>
  </si>
  <si>
    <t>flhn</t>
  </si>
  <si>
    <t>btls</t>
  </si>
  <si>
    <t>vftj</t>
  </si>
  <si>
    <t>tnqp</t>
  </si>
  <si>
    <t>fjrd</t>
  </si>
  <si>
    <t>lpqd</t>
  </si>
  <si>
    <t>svpw</t>
  </si>
  <si>
    <t>hpdn</t>
  </si>
  <si>
    <t>qwjc</t>
  </si>
  <si>
    <t>wzhp</t>
  </si>
  <si>
    <t>wwms</t>
  </si>
  <si>
    <t>clhb</t>
  </si>
  <si>
    <t>prdc</t>
  </si>
  <si>
    <t>sjwq</t>
  </si>
  <si>
    <t>gsmv</t>
  </si>
  <si>
    <t>stfs</t>
  </si>
  <si>
    <t>fsqb</t>
  </si>
  <si>
    <t>lgpm</t>
  </si>
  <si>
    <t>tvrj</t>
  </si>
  <si>
    <t>srnv</t>
  </si>
  <si>
    <t>njrg</t>
  </si>
  <si>
    <t>sbjz</t>
  </si>
  <si>
    <t>wjnt</t>
  </si>
  <si>
    <t>mrgb</t>
  </si>
  <si>
    <t>cnrp</t>
  </si>
  <si>
    <t>ndgq</t>
  </si>
  <si>
    <t>zvsp</t>
  </si>
  <si>
    <t>jfnr</t>
  </si>
  <si>
    <t>zvhr</t>
  </si>
  <si>
    <t>srvg</t>
  </si>
  <si>
    <t>cppj</t>
  </si>
  <si>
    <t>whtb</t>
  </si>
  <si>
    <t>wjwz</t>
  </si>
  <si>
    <t>rqzq</t>
  </si>
  <si>
    <t>pfzs</t>
  </si>
  <si>
    <t>bscd</t>
  </si>
  <si>
    <t>mtzs</t>
  </si>
  <si>
    <t>fwsl</t>
  </si>
  <si>
    <t>cmpz</t>
  </si>
  <si>
    <t>tflj</t>
  </si>
  <si>
    <t>wjgw</t>
  </si>
  <si>
    <t>cbvd</t>
  </si>
  <si>
    <t>vcst</t>
  </si>
  <si>
    <t>lltc</t>
  </si>
  <si>
    <t>hnvb</t>
  </si>
  <si>
    <t>bghc</t>
  </si>
  <si>
    <t>hznq</t>
  </si>
  <si>
    <t>hqdc</t>
  </si>
  <si>
    <t>tlgz</t>
  </si>
  <si>
    <t>wjjp</t>
  </si>
  <si>
    <t>psvd</t>
  </si>
  <si>
    <t>gqcv</t>
  </si>
  <si>
    <t>jrcr</t>
  </si>
  <si>
    <t>wfqh</t>
  </si>
  <si>
    <t>bwgh</t>
  </si>
  <si>
    <t>cgnv</t>
  </si>
  <si>
    <t>dvcq</t>
  </si>
  <si>
    <t>rgqh</t>
  </si>
  <si>
    <t>gbzb</t>
  </si>
  <si>
    <t>vpcs</t>
  </si>
  <si>
    <t>fvwq</t>
  </si>
  <si>
    <t>bdsd</t>
  </si>
  <si>
    <t>clls</t>
  </si>
  <si>
    <t>tzwm</t>
  </si>
  <si>
    <t>mdwn</t>
  </si>
  <si>
    <t>hwll</t>
  </si>
  <si>
    <t>hrnj</t>
  </si>
  <si>
    <t>vddh</t>
  </si>
  <si>
    <t>hgcd</t>
  </si>
  <si>
    <t>glps</t>
  </si>
  <si>
    <t>tndn</t>
  </si>
  <si>
    <t>qrhv</t>
  </si>
  <si>
    <t>lqqq</t>
  </si>
  <si>
    <t>jccn</t>
  </si>
  <si>
    <t>tdqc</t>
  </si>
  <si>
    <t>hrbq</t>
  </si>
  <si>
    <t>hclm</t>
  </si>
  <si>
    <t>grgf</t>
  </si>
  <si>
    <t>qqht</t>
  </si>
  <si>
    <t>frpq</t>
  </si>
  <si>
    <t>bpnz</t>
  </si>
  <si>
    <t>nwzj</t>
  </si>
  <si>
    <t>ldgd</t>
  </si>
  <si>
    <t>tmhf</t>
  </si>
  <si>
    <t>wbwf</t>
  </si>
  <si>
    <t>wzql</t>
  </si>
  <si>
    <t>vmjl</t>
  </si>
  <si>
    <t>zbmp</t>
  </si>
  <si>
    <t>rdqg</t>
  </si>
  <si>
    <t>njbl</t>
  </si>
  <si>
    <t>tcqs</t>
  </si>
  <si>
    <t>zhpr</t>
  </si>
  <si>
    <t>btjv</t>
  </si>
  <si>
    <t>zcbw</t>
  </si>
  <si>
    <t>mpch</t>
  </si>
  <si>
    <t>cmjw</t>
  </si>
  <si>
    <t>wvsj</t>
  </si>
  <si>
    <t>prms</t>
  </si>
  <si>
    <t>nrjf</t>
  </si>
  <si>
    <t>tnrd</t>
  </si>
  <si>
    <t>zdsd</t>
  </si>
  <si>
    <t>wsst</t>
  </si>
  <si>
    <t>rlrv</t>
  </si>
  <si>
    <t>zvbh</t>
  </si>
  <si>
    <t>jclw</t>
  </si>
  <si>
    <t>tmhj</t>
  </si>
  <si>
    <t>vplb</t>
  </si>
  <si>
    <t>tqql</t>
  </si>
  <si>
    <t>cpzl</t>
  </si>
  <si>
    <t>mbtj</t>
  </si>
  <si>
    <t>zqdb</t>
  </si>
  <si>
    <t>rhnf</t>
  </si>
  <si>
    <t>zgjb</t>
  </si>
  <si>
    <t>vbbn</t>
  </si>
  <si>
    <t>zqtd</t>
  </si>
  <si>
    <t>pmdd</t>
  </si>
  <si>
    <t>plms</t>
  </si>
  <si>
    <t>fzrq</t>
  </si>
  <si>
    <t>hmfr</t>
  </si>
  <si>
    <t>dgfj</t>
  </si>
  <si>
    <t>wjhj</t>
  </si>
  <si>
    <t>dnnp</t>
  </si>
  <si>
    <t>fbns</t>
  </si>
  <si>
    <t>pjpg</t>
  </si>
  <si>
    <t>csdt</t>
  </si>
  <si>
    <t>vwdg</t>
  </si>
  <si>
    <t>zcfq</t>
  </si>
  <si>
    <t>thjn</t>
  </si>
  <si>
    <t>qqch</t>
  </si>
  <si>
    <t>zwdr</t>
  </si>
  <si>
    <t>rphp</t>
  </si>
  <si>
    <t>cgml</t>
  </si>
  <si>
    <t>fbhm</t>
  </si>
  <si>
    <t>qhjq</t>
  </si>
  <si>
    <t>jhdf</t>
  </si>
  <si>
    <t>pdhl</t>
  </si>
  <si>
    <t>jvzn</t>
  </si>
  <si>
    <t>jtjj</t>
  </si>
  <si>
    <t>pqdz</t>
  </si>
  <si>
    <t>jcwh</t>
  </si>
  <si>
    <t>qwns</t>
  </si>
  <si>
    <t>cmsd</t>
  </si>
  <si>
    <t>msvl</t>
  </si>
  <si>
    <t>sjwp</t>
  </si>
  <si>
    <t>vnvw</t>
  </si>
  <si>
    <t>vjzr</t>
  </si>
  <si>
    <t>zhmd</t>
  </si>
  <si>
    <t>tgwh</t>
  </si>
  <si>
    <t>slmn</t>
  </si>
  <si>
    <t>gvfg</t>
  </si>
  <si>
    <t>ztqf</t>
  </si>
  <si>
    <t>zwcz</t>
  </si>
  <si>
    <t>gzhz</t>
  </si>
  <si>
    <t>vmqt</t>
  </si>
  <si>
    <t>brbh</t>
  </si>
  <si>
    <t>ccdl</t>
  </si>
  <si>
    <t>hqlq</t>
  </si>
  <si>
    <t>mcmn</t>
  </si>
  <si>
    <t>wjfj</t>
  </si>
  <si>
    <t>zgvg</t>
  </si>
  <si>
    <t>blgc</t>
  </si>
  <si>
    <t>psfm</t>
  </si>
  <si>
    <t>zntm</t>
  </si>
  <si>
    <t>vtch</t>
  </si>
  <si>
    <t>hbvd</t>
  </si>
  <si>
    <t>mmcc</t>
  </si>
  <si>
    <t>vstr</t>
  </si>
  <si>
    <t>ljhq</t>
  </si>
  <si>
    <t>gfcd</t>
  </si>
  <si>
    <t>znrp</t>
  </si>
  <si>
    <t>prbs</t>
  </si>
  <si>
    <t>sjfb</t>
  </si>
  <si>
    <t>tsfz</t>
  </si>
  <si>
    <t>sjqr</t>
  </si>
  <si>
    <t>vdcd</t>
  </si>
  <si>
    <t>qmzp</t>
  </si>
  <si>
    <t>hchn</t>
  </si>
  <si>
    <t>nvjn</t>
  </si>
  <si>
    <t>twqw</t>
  </si>
  <si>
    <t>rdrs</t>
  </si>
  <si>
    <t>qshd</t>
  </si>
  <si>
    <t>zvfc</t>
  </si>
  <si>
    <t>zqcn</t>
  </si>
  <si>
    <t>zgtv</t>
  </si>
  <si>
    <t>vdcv</t>
  </si>
  <si>
    <t>qgzb</t>
  </si>
  <si>
    <t>htcn</t>
  </si>
  <si>
    <t>fglh</t>
  </si>
  <si>
    <t>qvqt</t>
  </si>
  <si>
    <t>bvqs</t>
  </si>
  <si>
    <t>whhd</t>
  </si>
  <si>
    <t>nhgb</t>
  </si>
  <si>
    <t>mchz</t>
  </si>
  <si>
    <t>bsgd</t>
  </si>
  <si>
    <t>lplv</t>
  </si>
  <si>
    <t>dcqm</t>
  </si>
  <si>
    <t>dccw</t>
  </si>
  <si>
    <t>qhnd</t>
  </si>
  <si>
    <t>sjdl</t>
  </si>
  <si>
    <t>gddh</t>
  </si>
  <si>
    <t>whpr</t>
  </si>
  <si>
    <t>jcsw</t>
  </si>
  <si>
    <t>qzgr</t>
  </si>
  <si>
    <t>bjcn</t>
  </si>
  <si>
    <t>rpbl</t>
  </si>
  <si>
    <t>gqzz</t>
  </si>
  <si>
    <t>mtmh</t>
  </si>
  <si>
    <t>svln</t>
  </si>
  <si>
    <t>wznw</t>
  </si>
  <si>
    <t>dwzz</t>
  </si>
  <si>
    <t>tsvz</t>
  </si>
  <si>
    <t>qbjg</t>
  </si>
  <si>
    <t>rfcp</t>
  </si>
  <si>
    <t>vgsf</t>
  </si>
  <si>
    <t>qjft</t>
  </si>
  <si>
    <t>pbmt</t>
  </si>
  <si>
    <t>rbtt</t>
  </si>
  <si>
    <t>qqdw</t>
  </si>
  <si>
    <t>jdmc</t>
  </si>
  <si>
    <t>bmmg</t>
  </si>
  <si>
    <t>nbmh</t>
  </si>
  <si>
    <t>jcnn</t>
  </si>
  <si>
    <t>zncf</t>
  </si>
  <si>
    <t>dmhg</t>
  </si>
  <si>
    <t>pjbz</t>
  </si>
  <si>
    <t>vhgh</t>
  </si>
  <si>
    <t>gbrj</t>
  </si>
  <si>
    <t>mvdw</t>
  </si>
  <si>
    <t>zrlm</t>
  </si>
  <si>
    <t>jcjs</t>
  </si>
  <si>
    <t>jpqz</t>
  </si>
  <si>
    <t>nztn</t>
  </si>
  <si>
    <t>bpns</t>
  </si>
  <si>
    <t>hqmb</t>
  </si>
  <si>
    <t>glpn</t>
  </si>
  <si>
    <t>lfjq</t>
  </si>
  <si>
    <t>vbht</t>
  </si>
  <si>
    <t>phmr</t>
  </si>
  <si>
    <t>mrwj</t>
  </si>
  <si>
    <t>nqcw</t>
  </si>
  <si>
    <t>cqmw</t>
  </si>
  <si>
    <t>rzmd</t>
  </si>
  <si>
    <t>smnp</t>
  </si>
  <si>
    <t>bzpt</t>
  </si>
  <si>
    <t>jnct</t>
  </si>
  <si>
    <t>hnct</t>
  </si>
  <si>
    <t>cfrf</t>
  </si>
  <si>
    <t>mlhf</t>
  </si>
  <si>
    <t>sgcb</t>
  </si>
  <si>
    <t>cdbf</t>
  </si>
  <si>
    <t>bszn</t>
  </si>
  <si>
    <t>mzsc</t>
  </si>
  <si>
    <t>mcqn</t>
  </si>
  <si>
    <t>crzd</t>
  </si>
  <si>
    <t>zfbr</t>
  </si>
  <si>
    <t>wlbm</t>
  </si>
  <si>
    <t>zbzr</t>
  </si>
  <si>
    <t>zprc</t>
  </si>
  <si>
    <t>rwqb</t>
  </si>
  <si>
    <t>pmgn</t>
  </si>
  <si>
    <t>tsjz</t>
  </si>
  <si>
    <t>qmvc</t>
  </si>
  <si>
    <t>mgws</t>
  </si>
  <si>
    <t>wrcr</t>
  </si>
  <si>
    <t>jvpm</t>
  </si>
  <si>
    <t>tmzd</t>
  </si>
  <si>
    <t>fbpw</t>
  </si>
  <si>
    <t>zppc</t>
  </si>
  <si>
    <t>rnqh</t>
  </si>
  <si>
    <t>htqn</t>
  </si>
  <si>
    <t>cncz</t>
  </si>
  <si>
    <t>zrtv</t>
  </si>
  <si>
    <t>gsgf</t>
  </si>
  <si>
    <t>snjr</t>
  </si>
  <si>
    <t>tzft</t>
  </si>
  <si>
    <t>ttcq</t>
  </si>
  <si>
    <t>zhbn</t>
  </si>
  <si>
    <t>fwsv</t>
  </si>
  <si>
    <t>jfbb</t>
  </si>
  <si>
    <t>jnrz</t>
  </si>
  <si>
    <t>pvpg</t>
  </si>
  <si>
    <t>dmvm</t>
  </si>
  <si>
    <t>vhth</t>
  </si>
  <si>
    <t>tcrr</t>
  </si>
  <si>
    <t>nbmz</t>
  </si>
  <si>
    <t>brqn</t>
  </si>
  <si>
    <t>mhzj</t>
  </si>
  <si>
    <t>hccv</t>
  </si>
  <si>
    <t>bfwr</t>
  </si>
  <si>
    <t>qmcg</t>
  </si>
  <si>
    <t>zjzs</t>
  </si>
  <si>
    <t>lqgr</t>
  </si>
  <si>
    <t>fvbq</t>
  </si>
  <si>
    <t>ztdt</t>
  </si>
  <si>
    <t>nrzv</t>
  </si>
  <si>
    <t>nsfh</t>
  </si>
  <si>
    <t>cffs</t>
  </si>
  <si>
    <t>dwqw</t>
  </si>
  <si>
    <t>ttbb</t>
  </si>
  <si>
    <t>tmjv</t>
  </si>
  <si>
    <t>cbws</t>
  </si>
  <si>
    <t>qjtc</t>
  </si>
  <si>
    <t>hhnb</t>
  </si>
  <si>
    <t>ghqg</t>
  </si>
  <si>
    <t>hfvw</t>
  </si>
  <si>
    <t>nsjn</t>
  </si>
  <si>
    <t>hvwp</t>
  </si>
  <si>
    <t>jvmf</t>
  </si>
  <si>
    <t>zltj</t>
  </si>
  <si>
    <t>mbwc</t>
  </si>
  <si>
    <t>npgd</t>
  </si>
  <si>
    <t>tbhv</t>
  </si>
  <si>
    <t>mhch</t>
  </si>
  <si>
    <t>nwqh</t>
  </si>
  <si>
    <t>frsn</t>
  </si>
  <si>
    <t>mqvq</t>
  </si>
  <si>
    <t>pnvs</t>
  </si>
  <si>
    <t>htzn</t>
  </si>
  <si>
    <t>jrfb</t>
  </si>
  <si>
    <t>fbrh</t>
  </si>
  <si>
    <t>jlff</t>
  </si>
  <si>
    <t>qvql</t>
  </si>
  <si>
    <t>gbtz</t>
  </si>
  <si>
    <t>sgns</t>
  </si>
  <si>
    <t>bhfl</t>
  </si>
  <si>
    <t>cflt</t>
  </si>
  <si>
    <t>qhlm</t>
  </si>
  <si>
    <t>brjv</t>
  </si>
  <si>
    <t>fjlv</t>
  </si>
  <si>
    <t>mfrr</t>
  </si>
  <si>
    <t>ltcn</t>
  </si>
  <si>
    <t>jhgp</t>
  </si>
  <si>
    <t>jgfl</t>
  </si>
  <si>
    <t>trmz</t>
  </si>
  <si>
    <t>hjdh</t>
  </si>
  <si>
    <t>sjgh</t>
  </si>
  <si>
    <t>ssbm</t>
  </si>
  <si>
    <t>qdtr</t>
  </si>
  <si>
    <t>vntq</t>
  </si>
  <si>
    <t>jcjp</t>
  </si>
  <si>
    <t>frgg</t>
  </si>
  <si>
    <t>mltz</t>
  </si>
  <si>
    <t>tbmr</t>
  </si>
  <si>
    <t>tgts</t>
  </si>
  <si>
    <t>jjfq</t>
  </si>
  <si>
    <t>lzwz</t>
  </si>
  <si>
    <t>jqbn</t>
  </si>
  <si>
    <t>rljl</t>
  </si>
  <si>
    <t>gmhr</t>
  </si>
  <si>
    <t>rpcb</t>
  </si>
  <si>
    <t>pdhv</t>
  </si>
  <si>
    <t>wvcp</t>
  </si>
  <si>
    <t>zmwp</t>
  </si>
  <si>
    <t>drzh</t>
  </si>
  <si>
    <t>ffcz</t>
  </si>
  <si>
    <t>qcct</t>
  </si>
  <si>
    <t>jfhf</t>
  </si>
  <si>
    <t>zljs</t>
  </si>
  <si>
    <t>bmnn</t>
  </si>
  <si>
    <t>cqmv</t>
  </si>
  <si>
    <t>chsp</t>
  </si>
  <si>
    <t>dssz</t>
  </si>
  <si>
    <t>qcwr</t>
  </si>
  <si>
    <t>bzcn</t>
  </si>
  <si>
    <t>sbfb</t>
  </si>
  <si>
    <t>nlwj</t>
  </si>
  <si>
    <t>sqcc</t>
  </si>
  <si>
    <t>vwnc</t>
  </si>
  <si>
    <t>rppz</t>
  </si>
  <si>
    <t>ffcn</t>
  </si>
  <si>
    <t>jnld</t>
  </si>
  <si>
    <t>lvpl</t>
  </si>
  <si>
    <t>ptjc</t>
  </si>
  <si>
    <t>wrqd</t>
  </si>
  <si>
    <t>tfml</t>
  </si>
  <si>
    <t>tfpm</t>
  </si>
  <si>
    <t>tqnb</t>
  </si>
  <si>
    <t>cvvb</t>
  </si>
  <si>
    <t>chzs</t>
  </si>
  <si>
    <t>ntlg</t>
  </si>
  <si>
    <t>twbf</t>
  </si>
  <si>
    <t>vzhj</t>
  </si>
  <si>
    <t>hqnz</t>
  </si>
  <si>
    <t>lrnh</t>
  </si>
  <si>
    <t>hcdv</t>
  </si>
  <si>
    <t>hnfz</t>
  </si>
  <si>
    <t>qwjl</t>
  </si>
  <si>
    <t>lpzn</t>
  </si>
  <si>
    <t>pwpp</t>
  </si>
  <si>
    <t>vwvc</t>
  </si>
  <si>
    <t>vzhl</t>
  </si>
  <si>
    <t>tjbl</t>
  </si>
  <si>
    <t>gqhq</t>
  </si>
  <si>
    <t>hmbc</t>
  </si>
  <si>
    <t>cmmj</t>
  </si>
  <si>
    <t>stcw</t>
  </si>
  <si>
    <t>fqgg</t>
  </si>
  <si>
    <t>pzgm</t>
  </si>
  <si>
    <t>hjds</t>
  </si>
  <si>
    <t>dbgg</t>
  </si>
  <si>
    <t>nsqn</t>
  </si>
  <si>
    <t>qjjz</t>
  </si>
  <si>
    <t>bblr</t>
  </si>
  <si>
    <t>crjp</t>
  </si>
  <si>
    <t>vztj</t>
  </si>
  <si>
    <t>rght</t>
  </si>
  <si>
    <t>lncv</t>
  </si>
  <si>
    <t>rlds</t>
  </si>
  <si>
    <t>dlzq</t>
  </si>
  <si>
    <t>dzbd</t>
  </si>
  <si>
    <t>jrrn</t>
  </si>
  <si>
    <t>nrjd</t>
  </si>
  <si>
    <t>zdnr</t>
  </si>
  <si>
    <t>twjf</t>
  </si>
  <si>
    <t>vdps</t>
  </si>
  <si>
    <t>sqnb</t>
  </si>
  <si>
    <t>prmp</t>
  </si>
  <si>
    <t>vmhr</t>
  </si>
  <si>
    <t>gbqp</t>
  </si>
  <si>
    <t>pzwn</t>
  </si>
  <si>
    <t>qrdc</t>
  </si>
  <si>
    <t>cthg</t>
  </si>
  <si>
    <t>zzzb</t>
  </si>
  <si>
    <t>ftpd</t>
  </si>
  <si>
    <t>bshs</t>
  </si>
  <si>
    <t>cgzs</t>
  </si>
  <si>
    <t>hmch</t>
  </si>
  <si>
    <t>jswp</t>
  </si>
  <si>
    <t>zsvn</t>
  </si>
  <si>
    <t>fdzp</t>
  </si>
  <si>
    <t>hzsh</t>
  </si>
  <si>
    <t>brpd</t>
  </si>
  <si>
    <t>hgcp</t>
  </si>
  <si>
    <t>tjgn</t>
  </si>
  <si>
    <t>hrnf</t>
  </si>
  <si>
    <t>jbls</t>
  </si>
  <si>
    <t>ttcs</t>
  </si>
  <si>
    <t>tvmj</t>
  </si>
  <si>
    <t>fmjb</t>
  </si>
  <si>
    <t>pvnt</t>
  </si>
  <si>
    <t>hpmn</t>
  </si>
  <si>
    <t>pplv</t>
  </si>
  <si>
    <t>qwpb</t>
  </si>
  <si>
    <t>bhbm</t>
  </si>
  <si>
    <t>cgrh</t>
  </si>
  <si>
    <t>qbbz</t>
  </si>
  <si>
    <t>snfh</t>
  </si>
  <si>
    <t>wrth</t>
  </si>
  <si>
    <t>bmbq</t>
  </si>
  <si>
    <t>wmbb</t>
  </si>
  <si>
    <t>sfwz</t>
  </si>
  <si>
    <t>qzmd</t>
  </si>
  <si>
    <t>dnhb</t>
  </si>
  <si>
    <t>djtc</t>
  </si>
  <si>
    <t>fbdq</t>
  </si>
  <si>
    <t>fmdb</t>
  </si>
  <si>
    <t>jmdz</t>
  </si>
  <si>
    <t>lpqn</t>
  </si>
  <si>
    <t>jdsb</t>
  </si>
  <si>
    <t>lwcm</t>
  </si>
  <si>
    <t>znnc</t>
  </si>
  <si>
    <t>hjls</t>
  </si>
  <si>
    <t>mpbr</t>
  </si>
  <si>
    <t>sjht</t>
  </si>
  <si>
    <t>jzqd</t>
  </si>
  <si>
    <t>tzgl</t>
  </si>
  <si>
    <t>mbps</t>
  </si>
  <si>
    <t>jtpm</t>
  </si>
  <si>
    <t>ndlq</t>
  </si>
  <si>
    <t>mslt</t>
  </si>
  <si>
    <t>fbvc</t>
  </si>
  <si>
    <t>ptpf</t>
  </si>
  <si>
    <t>nbcp</t>
  </si>
  <si>
    <t>lvlg</t>
  </si>
  <si>
    <t>shnm</t>
  </si>
  <si>
    <t>vqjt</t>
  </si>
  <si>
    <t>pwfn</t>
  </si>
  <si>
    <t>qgfd</t>
  </si>
  <si>
    <t>hwcg</t>
  </si>
  <si>
    <t>hmqs</t>
  </si>
  <si>
    <t>bgrh</t>
  </si>
  <si>
    <t>bbwp</t>
  </si>
  <si>
    <t>nplj</t>
  </si>
  <si>
    <t>gjwj</t>
  </si>
  <si>
    <t>vwrt</t>
  </si>
  <si>
    <t>wdnb</t>
  </si>
  <si>
    <t>rqgq</t>
  </si>
  <si>
    <t>svng</t>
  </si>
  <si>
    <t>rdjj</t>
  </si>
  <si>
    <t>lmlq</t>
  </si>
  <si>
    <t>tgdq</t>
  </si>
  <si>
    <t>tmqj</t>
  </si>
  <si>
    <t>tpgs</t>
  </si>
  <si>
    <t>cvsb</t>
  </si>
  <si>
    <t>qglr</t>
  </si>
  <si>
    <t>bfsc</t>
  </si>
  <si>
    <t>pfwg</t>
  </si>
  <si>
    <t>nchs</t>
  </si>
  <si>
    <t>hqdn</t>
  </si>
  <si>
    <t>jzhz</t>
  </si>
  <si>
    <t>drdm</t>
  </si>
  <si>
    <t>zfrc</t>
  </si>
  <si>
    <t>szll</t>
  </si>
  <si>
    <t>gwgm</t>
  </si>
  <si>
    <t>zqjl</t>
  </si>
  <si>
    <t>nvdq</t>
  </si>
  <si>
    <t>dfcv</t>
  </si>
  <si>
    <t>swzl</t>
  </si>
  <si>
    <t>tjpj</t>
  </si>
  <si>
    <t>svzj</t>
  </si>
  <si>
    <t>gcrd</t>
  </si>
  <si>
    <t>pngh</t>
  </si>
  <si>
    <t>wvmv</t>
  </si>
  <si>
    <t>bwfb</t>
  </si>
  <si>
    <t>gtjm</t>
  </si>
  <si>
    <t>tmjs</t>
  </si>
  <si>
    <t>bncq</t>
  </si>
  <si>
    <t>vvpb</t>
  </si>
  <si>
    <t>djpd</t>
  </si>
  <si>
    <t>tdgl</t>
  </si>
  <si>
    <t>trlw</t>
  </si>
  <si>
    <t>rmfr</t>
  </si>
  <si>
    <t>lsfg</t>
  </si>
  <si>
    <t>ttlg</t>
  </si>
  <si>
    <t>rrvl</t>
  </si>
  <si>
    <t>nzdm</t>
  </si>
  <si>
    <t>zptw</t>
  </si>
  <si>
    <t>lgnj</t>
  </si>
  <si>
    <t>ghtq</t>
  </si>
  <si>
    <t>fjhr</t>
  </si>
  <si>
    <t>hbdh</t>
  </si>
  <si>
    <t>dwww</t>
  </si>
  <si>
    <t>wdgw</t>
  </si>
  <si>
    <t>msbj</t>
  </si>
  <si>
    <t>tbqm</t>
  </si>
  <si>
    <t>mnzh</t>
  </si>
  <si>
    <t>ssbp</t>
  </si>
  <si>
    <t>vmtd</t>
  </si>
  <si>
    <t>gctl</t>
  </si>
  <si>
    <t>gmwp</t>
  </si>
  <si>
    <t>qmfz</t>
  </si>
  <si>
    <t>wzph</t>
  </si>
  <si>
    <t>nvns</t>
  </si>
  <si>
    <t>dqzp</t>
  </si>
  <si>
    <t>ltnc</t>
  </si>
  <si>
    <t>sndc</t>
  </si>
  <si>
    <t>stnh</t>
  </si>
  <si>
    <t>gwlf</t>
  </si>
  <si>
    <t>tgcd</t>
  </si>
  <si>
    <t>fpdc</t>
  </si>
  <si>
    <t>slhd</t>
  </si>
  <si>
    <t>lqqm</t>
  </si>
  <si>
    <t>vwnd</t>
  </si>
  <si>
    <t>hbqw</t>
  </si>
  <si>
    <t>pnwh</t>
  </si>
  <si>
    <t>qdlj</t>
  </si>
  <si>
    <t>dzwg</t>
  </si>
  <si>
    <t>phpv</t>
  </si>
  <si>
    <t>nnfl</t>
  </si>
  <si>
    <t>tgfz</t>
  </si>
  <si>
    <t>pzbr</t>
  </si>
  <si>
    <t>sqjl</t>
  </si>
  <si>
    <t>tgjj</t>
  </si>
  <si>
    <t>dsbr</t>
  </si>
  <si>
    <t>mbvj</t>
  </si>
  <si>
    <t>rmwz</t>
  </si>
  <si>
    <t>dfdc</t>
  </si>
  <si>
    <t>vvbq</t>
  </si>
  <si>
    <t>cphb</t>
  </si>
  <si>
    <t>lqgf</t>
  </si>
  <si>
    <t>nmdm</t>
  </si>
  <si>
    <t>nbwg</t>
  </si>
  <si>
    <t>bsvh</t>
  </si>
  <si>
    <t>sztw</t>
  </si>
  <si>
    <t>hbbv</t>
  </si>
  <si>
    <t>gndz</t>
  </si>
  <si>
    <t>Part 1</t>
  </si>
  <si>
    <t>Part 2</t>
  </si>
  <si>
    <t>Once done, invoke Tools/Goal Seek, to set $F$2 to 0, by changing $F$1</t>
  </si>
  <si>
    <t>Note that you can always go back to the initial value for "humn" by restoring the value in $F$1 from $G$1</t>
  </si>
  <si>
    <t>Import your input data to A1 and then use "Text to Column" with the Delimiter only set to ":". Then hit next button</t>
  </si>
  <si>
    <t>INSTRUCTIONS: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</si>
</sst>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0"/>
      <color rgb="FF000000"/>
      <name val="Arial Unicode MS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5" fillId="0" borderId="0" xfId="0" applyFont="1"/>
    <xf numFmtId="1" fontId="0" fillId="0" borderId="0" xfId="0" applyNumberFormat="1"/>
    <xf numFmtId="0" fontId="3" fillId="4" borderId="1" xfId="3"/>
    <xf numFmtId="1" fontId="1" fillId="2" borderId="0" xfId="1" applyNumberFormat="1"/>
    <xf numFmtId="0" fontId="4" fillId="0" borderId="0" xfId="4"/>
    <xf numFmtId="1" fontId="4" fillId="0" borderId="0" xfId="4" applyNumberFormat="1"/>
    <xf numFmtId="1" fontId="2" fillId="3" borderId="0" xfId="2" applyNumberFormat="1"/>
  </cellXfs>
  <cellStyles count="5">
    <cellStyle name="Explanatory Text" xfId="4" builtinId="53"/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5</xdr:row>
          <xdr:rowOff>152400</xdr:rowOff>
        </xdr:from>
        <xdr:to>
          <xdr:col>7</xdr:col>
          <xdr:colOff>203200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Part 1 and Prepare part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9</xdr:row>
      <xdr:rowOff>0</xdr:rowOff>
    </xdr:from>
    <xdr:to>
      <xdr:col>7</xdr:col>
      <xdr:colOff>520700</xdr:colOff>
      <xdr:row>26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5600" y="1727200"/>
          <a:ext cx="5067300" cy="3835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456F2-EDE5-0F4F-8C0E-2F91732044FE}">
  <sheetPr codeName="Sheet1"/>
  <dimension ref="A1:K2703"/>
  <sheetViews>
    <sheetView tabSelected="1" workbookViewId="0">
      <selection activeCell="F1" sqref="F1"/>
    </sheetView>
  </sheetViews>
  <sheetFormatPr baseColWidth="10" defaultRowHeight="16" x14ac:dyDescent="0.2"/>
  <cols>
    <col min="1" max="2" width="10.83203125" style="3"/>
    <col min="4" max="5" width="15.1640625" style="2" bestFit="1" customWidth="1"/>
    <col min="6" max="6" width="14.1640625" style="2" bestFit="1" customWidth="1"/>
    <col min="7" max="7" width="15.1640625" bestFit="1" customWidth="1"/>
    <col min="8" max="8" width="15.33203125" style="2" bestFit="1" customWidth="1"/>
    <col min="9" max="10" width="15.1640625" style="2" bestFit="1" customWidth="1"/>
    <col min="11" max="11" width="10.83203125" style="2"/>
  </cols>
  <sheetData>
    <row r="1" spans="1:11" ht="17" x14ac:dyDescent="0.25">
      <c r="A1" s="3" t="s">
        <v>0</v>
      </c>
      <c r="B1" s="3">
        <f xml:space="preserve"> tqsm * svnj</f>
        <v>6</v>
      </c>
      <c r="C1" s="1"/>
      <c r="D1" s="2" t="s">
        <v>2051</v>
      </c>
      <c r="E1" s="2">
        <v>1397</v>
      </c>
      <c r="F1" s="7">
        <v>3759569926192</v>
      </c>
      <c r="G1">
        <v>1342</v>
      </c>
      <c r="H1" s="4" t="s">
        <v>2703</v>
      </c>
      <c r="I1" s="4">
        <v>84244467642604</v>
      </c>
      <c r="J1" s="2">
        <f>root</f>
        <v>31220607369164</v>
      </c>
    </row>
    <row r="2" spans="1:11" ht="17" x14ac:dyDescent="0.25">
      <c r="A2" s="3" t="s">
        <v>3</v>
      </c>
      <c r="B2" s="3">
        <f>5</f>
        <v>5</v>
      </c>
      <c r="C2" s="1"/>
      <c r="D2" s="2">
        <f>jdqw</f>
        <v>15610303684582</v>
      </c>
      <c r="E2" s="2">
        <f>nrrs</f>
        <v>15610303684582</v>
      </c>
      <c r="F2" s="7">
        <f>D2-E2</f>
        <v>0</v>
      </c>
      <c r="H2" s="4" t="s">
        <v>2704</v>
      </c>
      <c r="I2" s="4">
        <f>humn</f>
        <v>3759569926192</v>
      </c>
      <c r="J2" s="2">
        <v>3759569926192</v>
      </c>
    </row>
    <row r="3" spans="1:11" ht="17" x14ac:dyDescent="0.25">
      <c r="A3" s="3" t="s">
        <v>4</v>
      </c>
      <c r="B3" s="3">
        <f xml:space="preserve"> cscc * mpjs</f>
        <v>1495</v>
      </c>
      <c r="C3" s="1"/>
    </row>
    <row r="4" spans="1:11" ht="17" x14ac:dyDescent="0.25">
      <c r="A4" s="3" t="s">
        <v>7</v>
      </c>
      <c r="B4" s="3">
        <f xml:space="preserve"> tscm * nscs</f>
        <v>68173534673154</v>
      </c>
      <c r="C4" s="1"/>
      <c r="D4" s="6" t="s">
        <v>2708</v>
      </c>
      <c r="E4" s="6"/>
      <c r="F4" s="6"/>
      <c r="G4" s="5"/>
      <c r="H4" s="6"/>
      <c r="I4" s="6"/>
      <c r="J4" s="6"/>
      <c r="K4" s="6"/>
    </row>
    <row r="5" spans="1:11" ht="17" x14ac:dyDescent="0.25">
      <c r="A5" s="3" t="s">
        <v>10</v>
      </c>
      <c r="B5" s="3">
        <f>2</f>
        <v>2</v>
      </c>
      <c r="C5" s="1"/>
      <c r="D5" s="6" t="s">
        <v>2707</v>
      </c>
      <c r="E5" s="6"/>
      <c r="F5" s="6"/>
      <c r="G5" s="5"/>
      <c r="H5" s="6"/>
      <c r="I5" s="6"/>
      <c r="J5" s="6"/>
      <c r="K5" s="6"/>
    </row>
    <row r="6" spans="1:11" ht="17" x14ac:dyDescent="0.25">
      <c r="A6" s="3" t="s">
        <v>11</v>
      </c>
      <c r="B6" s="3">
        <f>2</f>
        <v>2</v>
      </c>
      <c r="C6" s="1"/>
      <c r="D6" s="6"/>
      <c r="E6" s="6"/>
      <c r="F6" s="6"/>
      <c r="G6" s="5"/>
      <c r="H6" s="6"/>
      <c r="I6" s="6"/>
      <c r="J6" s="6"/>
      <c r="K6" s="6"/>
    </row>
    <row r="7" spans="1:11" ht="17" x14ac:dyDescent="0.25">
      <c r="A7" s="3" t="s">
        <v>12</v>
      </c>
      <c r="B7" s="3">
        <f xml:space="preserve"> zvnj * mrrb</f>
        <v>308</v>
      </c>
      <c r="C7" s="1"/>
      <c r="D7" s="6"/>
      <c r="E7" s="6"/>
      <c r="F7" s="6"/>
      <c r="G7" s="5"/>
      <c r="H7" s="6"/>
      <c r="I7" s="6"/>
      <c r="J7" s="6"/>
      <c r="K7" s="6"/>
    </row>
    <row r="8" spans="1:11" ht="17" x14ac:dyDescent="0.25">
      <c r="A8" s="3" t="s">
        <v>15</v>
      </c>
      <c r="B8" s="3">
        <f>9</f>
        <v>9</v>
      </c>
      <c r="C8" s="1"/>
      <c r="D8" s="6" t="s">
        <v>2705</v>
      </c>
      <c r="E8" s="6"/>
      <c r="F8" s="6"/>
      <c r="G8" s="5"/>
      <c r="H8" s="6"/>
      <c r="I8" s="6"/>
      <c r="J8" s="6"/>
      <c r="K8" s="6"/>
    </row>
    <row r="9" spans="1:11" ht="17" x14ac:dyDescent="0.25">
      <c r="A9" s="3" t="s">
        <v>16</v>
      </c>
      <c r="B9" s="3">
        <f xml:space="preserve"> dgcp * vhfh</f>
        <v>315</v>
      </c>
      <c r="C9" s="1"/>
      <c r="D9" s="6" t="s">
        <v>2706</v>
      </c>
      <c r="E9" s="6"/>
      <c r="F9" s="6"/>
      <c r="G9" s="5"/>
      <c r="H9" s="6"/>
      <c r="I9" s="6"/>
      <c r="J9" s="6"/>
      <c r="K9" s="6"/>
    </row>
    <row r="10" spans="1:11" ht="17" x14ac:dyDescent="0.25">
      <c r="A10" s="3" t="s">
        <v>19</v>
      </c>
      <c r="B10" s="3">
        <f xml:space="preserve"> sbjp * cwzv</f>
        <v>198</v>
      </c>
      <c r="C10" s="1"/>
      <c r="D10" s="6"/>
      <c r="E10" s="6"/>
      <c r="F10" s="6"/>
      <c r="G10" s="5"/>
      <c r="H10" s="6"/>
      <c r="I10" s="6"/>
      <c r="J10" s="6"/>
      <c r="K10" s="6"/>
    </row>
    <row r="11" spans="1:11" ht="17" x14ac:dyDescent="0.25">
      <c r="A11" s="3" t="s">
        <v>22</v>
      </c>
      <c r="B11" s="3">
        <f xml:space="preserve"> mdgm * sjgn</f>
        <v>22</v>
      </c>
      <c r="C11" s="1"/>
      <c r="D11" s="6"/>
      <c r="E11" s="6"/>
      <c r="F11" s="6"/>
      <c r="G11" s="5"/>
      <c r="H11" s="6"/>
      <c r="I11" s="6"/>
      <c r="J11" s="6"/>
      <c r="K11" s="6"/>
    </row>
    <row r="12" spans="1:11" ht="17" x14ac:dyDescent="0.25">
      <c r="A12" s="3" t="s">
        <v>24</v>
      </c>
      <c r="B12" s="3">
        <f xml:space="preserve"> pcms * blml</f>
        <v>36</v>
      </c>
      <c r="C12" s="1"/>
      <c r="D12" s="6"/>
      <c r="E12" s="6"/>
      <c r="F12" s="6"/>
      <c r="G12" s="5"/>
      <c r="H12" s="6"/>
      <c r="I12" s="6"/>
      <c r="J12" s="6"/>
      <c r="K12" s="6"/>
    </row>
    <row r="13" spans="1:11" ht="17" x14ac:dyDescent="0.25">
      <c r="A13" s="3" t="s">
        <v>26</v>
      </c>
      <c r="B13" s="3">
        <f>7</f>
        <v>7</v>
      </c>
      <c r="C13" s="1"/>
      <c r="D13" s="6"/>
      <c r="E13" s="6"/>
      <c r="F13" s="6"/>
      <c r="G13" s="5"/>
      <c r="H13" s="6"/>
      <c r="I13" s="6"/>
      <c r="J13" s="6"/>
      <c r="K13" s="6"/>
    </row>
    <row r="14" spans="1:11" ht="17" x14ac:dyDescent="0.25">
      <c r="A14" s="3" t="s">
        <v>27</v>
      </c>
      <c r="B14" s="3">
        <f>5</f>
        <v>5</v>
      </c>
      <c r="C14" s="1"/>
      <c r="D14" s="6"/>
      <c r="E14" s="6"/>
      <c r="F14" s="6"/>
      <c r="G14" s="5"/>
      <c r="H14" s="6"/>
      <c r="I14" s="6"/>
      <c r="J14" s="6"/>
      <c r="K14" s="6"/>
    </row>
    <row r="15" spans="1:11" ht="17" x14ac:dyDescent="0.25">
      <c r="A15" s="3" t="s">
        <v>28</v>
      </c>
      <c r="B15" s="3">
        <f>4</f>
        <v>4</v>
      </c>
      <c r="C15" s="1"/>
      <c r="D15" s="6"/>
      <c r="E15" s="6"/>
      <c r="F15" s="6"/>
      <c r="G15" s="5"/>
      <c r="H15" s="6"/>
      <c r="I15" s="6"/>
      <c r="J15" s="6"/>
      <c r="K15" s="6"/>
    </row>
    <row r="16" spans="1:11" ht="17" x14ac:dyDescent="0.25">
      <c r="A16" s="3" t="s">
        <v>29</v>
      </c>
      <c r="B16" s="3">
        <f>3</f>
        <v>3</v>
      </c>
      <c r="C16" s="1"/>
      <c r="D16" s="6"/>
      <c r="E16" s="6"/>
      <c r="F16" s="6"/>
      <c r="G16" s="5"/>
      <c r="H16" s="6"/>
      <c r="I16" s="6"/>
      <c r="J16" s="6"/>
      <c r="K16" s="6"/>
    </row>
    <row r="17" spans="1:11" ht="17" x14ac:dyDescent="0.25">
      <c r="A17" s="3" t="s">
        <v>30</v>
      </c>
      <c r="B17" s="3">
        <f>2</f>
        <v>2</v>
      </c>
      <c r="C17" s="1"/>
      <c r="D17" s="6"/>
      <c r="E17" s="6"/>
      <c r="F17" s="6"/>
      <c r="G17" s="5"/>
      <c r="H17" s="6"/>
      <c r="I17" s="6"/>
      <c r="J17" s="6"/>
      <c r="K17" s="6"/>
    </row>
    <row r="18" spans="1:11" ht="17" x14ac:dyDescent="0.25">
      <c r="A18" s="3" t="s">
        <v>31</v>
      </c>
      <c r="B18" s="3">
        <f>2</f>
        <v>2</v>
      </c>
      <c r="C18" s="1"/>
      <c r="D18" s="6"/>
      <c r="E18" s="6"/>
      <c r="F18" s="6"/>
      <c r="G18" s="5"/>
      <c r="H18" s="6"/>
      <c r="I18" s="6"/>
      <c r="J18" s="6"/>
      <c r="K18" s="6"/>
    </row>
    <row r="19" spans="1:11" ht="17" x14ac:dyDescent="0.25">
      <c r="A19" s="3" t="s">
        <v>32</v>
      </c>
      <c r="B19" s="3">
        <f xml:space="preserve"> pfqq / vpsr</f>
        <v>371</v>
      </c>
      <c r="C19" s="1"/>
      <c r="D19" s="6"/>
      <c r="E19" s="6"/>
      <c r="F19" s="6"/>
      <c r="G19" s="5"/>
      <c r="H19" s="6"/>
      <c r="I19" s="6"/>
      <c r="J19" s="6"/>
      <c r="K19" s="6"/>
    </row>
    <row r="20" spans="1:11" ht="17" x14ac:dyDescent="0.25">
      <c r="A20" s="3" t="s">
        <v>35</v>
      </c>
      <c r="B20" s="3">
        <f xml:space="preserve"> rmjw * dfsr</f>
        <v>6</v>
      </c>
      <c r="C20" s="1"/>
      <c r="D20" s="6"/>
      <c r="E20" s="6"/>
      <c r="F20" s="6"/>
      <c r="G20" s="5"/>
      <c r="H20" s="6"/>
      <c r="I20" s="6"/>
      <c r="J20" s="6"/>
      <c r="K20" s="6"/>
    </row>
    <row r="21" spans="1:11" ht="17" x14ac:dyDescent="0.25">
      <c r="A21" s="3" t="s">
        <v>38</v>
      </c>
      <c r="B21" s="3">
        <f>14</f>
        <v>14</v>
      </c>
      <c r="C21" s="1"/>
      <c r="D21" s="6"/>
      <c r="E21" s="6"/>
      <c r="F21" s="6"/>
      <c r="G21" s="5"/>
      <c r="H21" s="6"/>
      <c r="I21" s="6"/>
      <c r="J21" s="6"/>
      <c r="K21" s="6"/>
    </row>
    <row r="22" spans="1:11" ht="17" x14ac:dyDescent="0.25">
      <c r="A22" s="3" t="s">
        <v>39</v>
      </c>
      <c r="B22" s="3">
        <f>2</f>
        <v>2</v>
      </c>
      <c r="C22" s="1"/>
      <c r="D22" s="6"/>
      <c r="E22" s="6"/>
      <c r="F22" s="6"/>
      <c r="G22" s="5"/>
      <c r="H22" s="6"/>
      <c r="I22" s="6"/>
      <c r="J22" s="6"/>
      <c r="K22" s="6"/>
    </row>
    <row r="23" spans="1:11" ht="17" x14ac:dyDescent="0.25">
      <c r="A23" s="3" t="s">
        <v>40</v>
      </c>
      <c r="B23" s="3">
        <f xml:space="preserve"> vqzw - mrfv</f>
        <v>8</v>
      </c>
      <c r="C23" s="1"/>
      <c r="D23" s="6"/>
      <c r="E23" s="6"/>
      <c r="F23" s="6"/>
      <c r="G23" s="5"/>
      <c r="H23" s="6"/>
      <c r="I23" s="6"/>
      <c r="J23" s="6"/>
      <c r="K23" s="6"/>
    </row>
    <row r="24" spans="1:11" ht="17" x14ac:dyDescent="0.25">
      <c r="A24" s="3" t="s">
        <v>43</v>
      </c>
      <c r="B24" s="3">
        <f xml:space="preserve"> ltrm - nsrr</f>
        <v>140</v>
      </c>
      <c r="C24" s="1"/>
      <c r="D24" s="6"/>
      <c r="E24" s="6"/>
      <c r="F24" s="6"/>
      <c r="G24" s="5"/>
      <c r="H24" s="6"/>
      <c r="I24" s="6"/>
      <c r="J24" s="6"/>
      <c r="K24" s="6"/>
    </row>
    <row r="25" spans="1:11" ht="17" x14ac:dyDescent="0.25">
      <c r="A25" s="3" t="s">
        <v>46</v>
      </c>
      <c r="B25" s="3">
        <f xml:space="preserve"> hmgv * wjpp</f>
        <v>14</v>
      </c>
      <c r="C25" s="1"/>
    </row>
    <row r="26" spans="1:11" ht="17" x14ac:dyDescent="0.25">
      <c r="A26" s="3" t="s">
        <v>18</v>
      </c>
      <c r="B26" s="3">
        <f xml:space="preserve"> jsms * wqrt</f>
        <v>45</v>
      </c>
      <c r="C26" s="1"/>
    </row>
    <row r="27" spans="1:11" ht="17" x14ac:dyDescent="0.25">
      <c r="A27" s="3" t="s">
        <v>51</v>
      </c>
      <c r="B27" s="3">
        <f>5</f>
        <v>5</v>
      </c>
      <c r="C27" s="1"/>
    </row>
    <row r="28" spans="1:11" ht="17" x14ac:dyDescent="0.25">
      <c r="A28" s="3" t="s">
        <v>52</v>
      </c>
      <c r="B28" s="3">
        <f>13</f>
        <v>13</v>
      </c>
      <c r="C28" s="1"/>
    </row>
    <row r="29" spans="1:11" ht="17" x14ac:dyDescent="0.25">
      <c r="A29" s="3" t="s">
        <v>53</v>
      </c>
      <c r="B29" s="3">
        <f xml:space="preserve"> fbtw + djcj</f>
        <v>67</v>
      </c>
      <c r="C29" s="1"/>
    </row>
    <row r="30" spans="1:11" ht="17" x14ac:dyDescent="0.25">
      <c r="A30" s="3" t="s">
        <v>56</v>
      </c>
      <c r="B30" s="3">
        <f>2</f>
        <v>2</v>
      </c>
      <c r="C30" s="1"/>
    </row>
    <row r="31" spans="1:11" ht="17" x14ac:dyDescent="0.25">
      <c r="A31" s="3" t="s">
        <v>57</v>
      </c>
      <c r="B31" s="3">
        <f>4</f>
        <v>4</v>
      </c>
      <c r="C31" s="1"/>
    </row>
    <row r="32" spans="1:11" ht="17" x14ac:dyDescent="0.25">
      <c r="A32" s="3" t="s">
        <v>58</v>
      </c>
      <c r="B32" s="3">
        <f>7</f>
        <v>7</v>
      </c>
      <c r="C32" s="1"/>
    </row>
    <row r="33" spans="1:3" ht="17" x14ac:dyDescent="0.25">
      <c r="A33" s="3" t="s">
        <v>59</v>
      </c>
      <c r="B33" s="3">
        <f>14</f>
        <v>14</v>
      </c>
      <c r="C33" s="1"/>
    </row>
    <row r="34" spans="1:3" ht="17" x14ac:dyDescent="0.25">
      <c r="A34" s="3" t="s">
        <v>60</v>
      </c>
      <c r="B34" s="3">
        <f xml:space="preserve"> pnvf + gsdr</f>
        <v>16</v>
      </c>
      <c r="C34" s="1"/>
    </row>
    <row r="35" spans="1:3" ht="17" x14ac:dyDescent="0.25">
      <c r="A35" s="3" t="s">
        <v>63</v>
      </c>
      <c r="B35" s="3">
        <f>14</f>
        <v>14</v>
      </c>
      <c r="C35" s="1"/>
    </row>
    <row r="36" spans="1:3" ht="17" x14ac:dyDescent="0.25">
      <c r="A36" s="3" t="s">
        <v>64</v>
      </c>
      <c r="B36" s="3">
        <f>2</f>
        <v>2</v>
      </c>
      <c r="C36" s="1"/>
    </row>
    <row r="37" spans="1:3" ht="17" x14ac:dyDescent="0.25">
      <c r="A37" s="3" t="s">
        <v>65</v>
      </c>
      <c r="B37" s="3">
        <f xml:space="preserve"> zhvz * lhcr</f>
        <v>138</v>
      </c>
      <c r="C37" s="1"/>
    </row>
    <row r="38" spans="1:3" ht="17" x14ac:dyDescent="0.25">
      <c r="A38" s="3" t="s">
        <v>68</v>
      </c>
      <c r="B38" s="3">
        <f xml:space="preserve"> phps - hbcq</f>
        <v>23</v>
      </c>
      <c r="C38" s="1"/>
    </row>
    <row r="39" spans="1:3" ht="17" x14ac:dyDescent="0.25">
      <c r="A39" s="3" t="s">
        <v>71</v>
      </c>
      <c r="B39" s="3">
        <f>3</f>
        <v>3</v>
      </c>
      <c r="C39" s="1"/>
    </row>
    <row r="40" spans="1:3" ht="17" x14ac:dyDescent="0.25">
      <c r="A40" s="3" t="s">
        <v>72</v>
      </c>
      <c r="B40" s="3">
        <f xml:space="preserve"> rjld * zrwh</f>
        <v>2498</v>
      </c>
      <c r="C40" s="1"/>
    </row>
    <row r="41" spans="1:3" ht="17" x14ac:dyDescent="0.25">
      <c r="A41" s="3" t="s">
        <v>75</v>
      </c>
      <c r="B41" s="3">
        <f xml:space="preserve"> fgdw + vvqq</f>
        <v>47</v>
      </c>
      <c r="C41" s="1"/>
    </row>
    <row r="42" spans="1:3" ht="17" x14ac:dyDescent="0.25">
      <c r="A42" s="3" t="s">
        <v>78</v>
      </c>
      <c r="B42" s="3">
        <f>2</f>
        <v>2</v>
      </c>
      <c r="C42" s="1"/>
    </row>
    <row r="43" spans="1:3" ht="17" x14ac:dyDescent="0.25">
      <c r="A43" s="3" t="s">
        <v>79</v>
      </c>
      <c r="B43" s="3">
        <f>20</f>
        <v>20</v>
      </c>
      <c r="C43" s="1"/>
    </row>
    <row r="44" spans="1:3" ht="17" x14ac:dyDescent="0.25">
      <c r="A44" s="3" t="s">
        <v>80</v>
      </c>
      <c r="B44" s="3">
        <f xml:space="preserve"> szvz * jzbv</f>
        <v>32</v>
      </c>
      <c r="C44" s="1"/>
    </row>
    <row r="45" spans="1:3" ht="17" x14ac:dyDescent="0.25">
      <c r="A45" s="3" t="s">
        <v>82</v>
      </c>
      <c r="B45" s="3">
        <f>4</f>
        <v>4</v>
      </c>
      <c r="C45" s="1"/>
    </row>
    <row r="46" spans="1:3" ht="17" x14ac:dyDescent="0.25">
      <c r="A46" s="3" t="s">
        <v>83</v>
      </c>
      <c r="B46" s="3">
        <f xml:space="preserve"> vmmw * mrcm</f>
        <v>6</v>
      </c>
      <c r="C46" s="1"/>
    </row>
    <row r="47" spans="1:3" ht="17" x14ac:dyDescent="0.25">
      <c r="A47" s="3" t="s">
        <v>86</v>
      </c>
      <c r="B47" s="3">
        <f>15</f>
        <v>15</v>
      </c>
      <c r="C47" s="1"/>
    </row>
    <row r="48" spans="1:3" ht="17" x14ac:dyDescent="0.25">
      <c r="A48" s="3" t="s">
        <v>87</v>
      </c>
      <c r="B48" s="3">
        <f xml:space="preserve"> crlj * jfnp</f>
        <v>62</v>
      </c>
      <c r="C48" s="1"/>
    </row>
    <row r="49" spans="1:3" ht="17" x14ac:dyDescent="0.25">
      <c r="A49" s="3" t="s">
        <v>90</v>
      </c>
      <c r="B49" s="3">
        <f>10</f>
        <v>10</v>
      </c>
      <c r="C49" s="1"/>
    </row>
    <row r="50" spans="1:3" ht="17" x14ac:dyDescent="0.25">
      <c r="A50" s="3" t="s">
        <v>91</v>
      </c>
      <c r="B50" s="3">
        <f>1</f>
        <v>1</v>
      </c>
      <c r="C50" s="1"/>
    </row>
    <row r="51" spans="1:3" ht="17" x14ac:dyDescent="0.25">
      <c r="A51" s="3" t="s">
        <v>92</v>
      </c>
      <c r="B51" s="3">
        <f>8</f>
        <v>8</v>
      </c>
      <c r="C51" s="1"/>
    </row>
    <row r="52" spans="1:3" ht="17" x14ac:dyDescent="0.25">
      <c r="A52" s="3" t="s">
        <v>93</v>
      </c>
      <c r="B52" s="3">
        <f xml:space="preserve"> wnms * ztnq</f>
        <v>64</v>
      </c>
      <c r="C52" s="1"/>
    </row>
    <row r="53" spans="1:3" ht="17" x14ac:dyDescent="0.25">
      <c r="A53" s="3" t="s">
        <v>96</v>
      </c>
      <c r="B53" s="3">
        <f>4</f>
        <v>4</v>
      </c>
      <c r="C53" s="1"/>
    </row>
    <row r="54" spans="1:3" ht="17" x14ac:dyDescent="0.25">
      <c r="A54" s="3" t="s">
        <v>97</v>
      </c>
      <c r="B54" s="3">
        <f>2</f>
        <v>2</v>
      </c>
      <c r="C54" s="1"/>
    </row>
    <row r="55" spans="1:3" ht="17" x14ac:dyDescent="0.25">
      <c r="A55" s="3" t="s">
        <v>98</v>
      </c>
      <c r="B55" s="3">
        <f xml:space="preserve"> mvrp * mqhl</f>
        <v>25</v>
      </c>
      <c r="C55" s="1"/>
    </row>
    <row r="56" spans="1:3" ht="17" x14ac:dyDescent="0.25">
      <c r="A56" s="3" t="s">
        <v>101</v>
      </c>
      <c r="B56" s="3">
        <f xml:space="preserve"> rzfz + thnb</f>
        <v>217</v>
      </c>
      <c r="C56" s="1"/>
    </row>
    <row r="57" spans="1:3" ht="17" x14ac:dyDescent="0.25">
      <c r="A57" s="3" t="s">
        <v>104</v>
      </c>
      <c r="B57" s="3">
        <f>5</f>
        <v>5</v>
      </c>
      <c r="C57" s="1"/>
    </row>
    <row r="58" spans="1:3" ht="17" x14ac:dyDescent="0.25">
      <c r="A58" s="3" t="s">
        <v>105</v>
      </c>
      <c r="B58" s="3">
        <f>3</f>
        <v>3</v>
      </c>
      <c r="C58" s="1"/>
    </row>
    <row r="59" spans="1:3" ht="17" x14ac:dyDescent="0.25">
      <c r="A59" s="3" t="s">
        <v>106</v>
      </c>
      <c r="B59" s="3">
        <f>9</f>
        <v>9</v>
      </c>
      <c r="C59" s="1"/>
    </row>
    <row r="60" spans="1:3" ht="17" x14ac:dyDescent="0.25">
      <c r="A60" s="3" t="s">
        <v>107</v>
      </c>
      <c r="B60" s="3">
        <f xml:space="preserve"> wjzg / rdmc</f>
        <v>296</v>
      </c>
      <c r="C60" s="1"/>
    </row>
    <row r="61" spans="1:3" ht="17" x14ac:dyDescent="0.25">
      <c r="A61" s="3" t="s">
        <v>109</v>
      </c>
      <c r="B61" s="3">
        <f>3</f>
        <v>3</v>
      </c>
      <c r="C61" s="1"/>
    </row>
    <row r="62" spans="1:3" ht="17" x14ac:dyDescent="0.25">
      <c r="A62" s="3" t="s">
        <v>110</v>
      </c>
      <c r="B62" s="3">
        <f>2</f>
        <v>2</v>
      </c>
      <c r="C62" s="1"/>
    </row>
    <row r="63" spans="1:3" ht="17" x14ac:dyDescent="0.25">
      <c r="A63" s="3" t="s">
        <v>111</v>
      </c>
      <c r="B63" s="3">
        <f xml:space="preserve"> qgfq * nmzt</f>
        <v>55</v>
      </c>
      <c r="C63" s="1"/>
    </row>
    <row r="64" spans="1:3" ht="17" x14ac:dyDescent="0.25">
      <c r="A64" s="3" t="s">
        <v>114</v>
      </c>
      <c r="B64" s="3">
        <f>2</f>
        <v>2</v>
      </c>
      <c r="C64" s="1"/>
    </row>
    <row r="65" spans="1:3" ht="17" x14ac:dyDescent="0.25">
      <c r="A65" s="3" t="s">
        <v>115</v>
      </c>
      <c r="B65" s="3">
        <f xml:space="preserve"> npbq * qsfj</f>
        <v>27</v>
      </c>
      <c r="C65" s="1"/>
    </row>
    <row r="66" spans="1:3" ht="17" x14ac:dyDescent="0.25">
      <c r="A66" s="3" t="s">
        <v>118</v>
      </c>
      <c r="B66" s="3">
        <f>3</f>
        <v>3</v>
      </c>
      <c r="C66" s="1"/>
    </row>
    <row r="67" spans="1:3" ht="17" x14ac:dyDescent="0.25">
      <c r="A67" s="3" t="s">
        <v>119</v>
      </c>
      <c r="B67" s="3">
        <f xml:space="preserve"> vjqw + dbpv</f>
        <v>84</v>
      </c>
      <c r="C67" s="1"/>
    </row>
    <row r="68" spans="1:3" ht="17" x14ac:dyDescent="0.25">
      <c r="A68" s="3" t="s">
        <v>122</v>
      </c>
      <c r="B68" s="3">
        <f>2</f>
        <v>2</v>
      </c>
      <c r="C68" s="1"/>
    </row>
    <row r="69" spans="1:3" ht="17" x14ac:dyDescent="0.25">
      <c r="A69" s="3" t="s">
        <v>123</v>
      </c>
      <c r="B69" s="3">
        <f>3</f>
        <v>3</v>
      </c>
      <c r="C69" s="1"/>
    </row>
    <row r="70" spans="1:3" ht="17" x14ac:dyDescent="0.25">
      <c r="A70" s="3" t="s">
        <v>124</v>
      </c>
      <c r="B70" s="3">
        <f>11</f>
        <v>11</v>
      </c>
      <c r="C70" s="1"/>
    </row>
    <row r="71" spans="1:3" ht="17" x14ac:dyDescent="0.25">
      <c r="A71" s="3" t="s">
        <v>125</v>
      </c>
      <c r="B71" s="3">
        <f>8</f>
        <v>8</v>
      </c>
      <c r="C71" s="1"/>
    </row>
    <row r="72" spans="1:3" ht="17" x14ac:dyDescent="0.25">
      <c r="A72" s="3" t="s">
        <v>126</v>
      </c>
      <c r="B72" s="3">
        <f xml:space="preserve"> vrlf * qppr</f>
        <v>6</v>
      </c>
      <c r="C72" s="1"/>
    </row>
    <row r="73" spans="1:3" ht="17" x14ac:dyDescent="0.25">
      <c r="A73" s="3" t="s">
        <v>129</v>
      </c>
      <c r="B73" s="3">
        <f xml:space="preserve"> nqwl + pljj</f>
        <v>101</v>
      </c>
      <c r="C73" s="1"/>
    </row>
    <row r="74" spans="1:3" ht="17" x14ac:dyDescent="0.25">
      <c r="A74" s="3" t="s">
        <v>132</v>
      </c>
      <c r="B74" s="3">
        <f>2</f>
        <v>2</v>
      </c>
      <c r="C74" s="1"/>
    </row>
    <row r="75" spans="1:3" ht="17" x14ac:dyDescent="0.25">
      <c r="A75" s="3" t="s">
        <v>133</v>
      </c>
      <c r="B75" s="3">
        <f xml:space="preserve"> vzft * gczl</f>
        <v>26</v>
      </c>
      <c r="C75" s="1"/>
    </row>
    <row r="76" spans="1:3" ht="17" x14ac:dyDescent="0.25">
      <c r="A76" s="3" t="s">
        <v>136</v>
      </c>
      <c r="B76" s="3">
        <f xml:space="preserve"> lvdf - mmlw</f>
        <v>37</v>
      </c>
      <c r="C76" s="1"/>
    </row>
    <row r="77" spans="1:3" ht="17" x14ac:dyDescent="0.25">
      <c r="A77" s="3" t="s">
        <v>139</v>
      </c>
      <c r="B77" s="3">
        <f xml:space="preserve"> mdrn * mstb</f>
        <v>125</v>
      </c>
      <c r="C77" s="1"/>
    </row>
    <row r="78" spans="1:3" ht="17" x14ac:dyDescent="0.25">
      <c r="A78" s="3" t="s">
        <v>141</v>
      </c>
      <c r="B78" s="3">
        <f xml:space="preserve"> brjc * dndb</f>
        <v>49</v>
      </c>
      <c r="C78" s="1"/>
    </row>
    <row r="79" spans="1:3" ht="17" x14ac:dyDescent="0.25">
      <c r="A79" s="3" t="s">
        <v>144</v>
      </c>
      <c r="B79" s="3">
        <f>3</f>
        <v>3</v>
      </c>
      <c r="C79" s="1"/>
    </row>
    <row r="80" spans="1:3" ht="17" x14ac:dyDescent="0.25">
      <c r="A80" s="3" t="s">
        <v>145</v>
      </c>
      <c r="B80" s="3">
        <f xml:space="preserve"> npcm + bfgr</f>
        <v>25</v>
      </c>
      <c r="C80" s="1"/>
    </row>
    <row r="81" spans="1:3" ht="17" x14ac:dyDescent="0.25">
      <c r="A81" s="3" t="s">
        <v>148</v>
      </c>
      <c r="B81" s="3">
        <f>3</f>
        <v>3</v>
      </c>
      <c r="C81" s="1"/>
    </row>
    <row r="82" spans="1:3" ht="17" x14ac:dyDescent="0.25">
      <c r="A82" s="3" t="s">
        <v>149</v>
      </c>
      <c r="B82" s="3">
        <f xml:space="preserve"> zztb + jtpw</f>
        <v>62</v>
      </c>
      <c r="C82" s="1"/>
    </row>
    <row r="83" spans="1:3" ht="17" x14ac:dyDescent="0.25">
      <c r="A83" s="3" t="s">
        <v>152</v>
      </c>
      <c r="B83" s="3">
        <f>3</f>
        <v>3</v>
      </c>
      <c r="C83" s="1"/>
    </row>
    <row r="84" spans="1:3" ht="17" x14ac:dyDescent="0.25">
      <c r="A84" s="3" t="s">
        <v>153</v>
      </c>
      <c r="B84" s="3">
        <f xml:space="preserve"> mzbv + rvsv</f>
        <v>29</v>
      </c>
      <c r="C84" s="1"/>
    </row>
    <row r="85" spans="1:3" ht="17" x14ac:dyDescent="0.25">
      <c r="A85" s="3" t="s">
        <v>156</v>
      </c>
      <c r="B85" s="3">
        <f>3</f>
        <v>3</v>
      </c>
      <c r="C85" s="1"/>
    </row>
    <row r="86" spans="1:3" ht="17" x14ac:dyDescent="0.25">
      <c r="A86" s="3" t="s">
        <v>157</v>
      </c>
      <c r="B86" s="3">
        <f>2</f>
        <v>2</v>
      </c>
      <c r="C86" s="1"/>
    </row>
    <row r="87" spans="1:3" ht="17" x14ac:dyDescent="0.25">
      <c r="A87" s="3" t="s">
        <v>158</v>
      </c>
      <c r="B87" s="3">
        <f xml:space="preserve"> wlvl * rfdf</f>
        <v>120</v>
      </c>
      <c r="C87" s="1"/>
    </row>
    <row r="88" spans="1:3" ht="17" x14ac:dyDescent="0.25">
      <c r="A88" s="3" t="s">
        <v>161</v>
      </c>
      <c r="B88" s="3">
        <f>4</f>
        <v>4</v>
      </c>
      <c r="C88" s="1"/>
    </row>
    <row r="89" spans="1:3" ht="17" x14ac:dyDescent="0.25">
      <c r="A89" s="3" t="s">
        <v>162</v>
      </c>
      <c r="B89" s="3">
        <f xml:space="preserve"> qpqn / zmfn</f>
        <v>31</v>
      </c>
      <c r="C89" s="1"/>
    </row>
    <row r="90" spans="1:3" ht="17" x14ac:dyDescent="0.25">
      <c r="A90" s="3" t="s">
        <v>165</v>
      </c>
      <c r="B90" s="3">
        <f>4</f>
        <v>4</v>
      </c>
      <c r="C90" s="1"/>
    </row>
    <row r="91" spans="1:3" ht="17" x14ac:dyDescent="0.25">
      <c r="A91" s="3" t="s">
        <v>166</v>
      </c>
      <c r="B91" s="3">
        <f>3</f>
        <v>3</v>
      </c>
      <c r="C91" s="1"/>
    </row>
    <row r="92" spans="1:3" ht="17" x14ac:dyDescent="0.25">
      <c r="A92" s="3" t="s">
        <v>167</v>
      </c>
      <c r="B92" s="3">
        <f>8</f>
        <v>8</v>
      </c>
      <c r="C92" s="1"/>
    </row>
    <row r="93" spans="1:3" ht="17" x14ac:dyDescent="0.25">
      <c r="A93" s="3" t="s">
        <v>168</v>
      </c>
      <c r="B93" s="3">
        <f xml:space="preserve"> gffg * gvpn</f>
        <v>10561</v>
      </c>
      <c r="C93" s="1"/>
    </row>
    <row r="94" spans="1:3" ht="17" x14ac:dyDescent="0.25">
      <c r="A94" s="3" t="s">
        <v>171</v>
      </c>
      <c r="B94" s="3">
        <f>7</f>
        <v>7</v>
      </c>
      <c r="C94" s="1"/>
    </row>
    <row r="95" spans="1:3" ht="17" x14ac:dyDescent="0.25">
      <c r="A95" s="3" t="s">
        <v>172</v>
      </c>
      <c r="B95" s="3">
        <f>5</f>
        <v>5</v>
      </c>
      <c r="C95" s="1"/>
    </row>
    <row r="96" spans="1:3" ht="17" x14ac:dyDescent="0.25">
      <c r="A96" s="3" t="s">
        <v>173</v>
      </c>
      <c r="B96" s="3">
        <f xml:space="preserve"> tgrf + lsnc</f>
        <v>11</v>
      </c>
      <c r="C96" s="1"/>
    </row>
    <row r="97" spans="1:3" ht="17" x14ac:dyDescent="0.25">
      <c r="A97" s="3" t="s">
        <v>176</v>
      </c>
      <c r="B97" s="3">
        <f>4</f>
        <v>4</v>
      </c>
      <c r="C97" s="1"/>
    </row>
    <row r="98" spans="1:3" ht="17" x14ac:dyDescent="0.25">
      <c r="A98" s="3" t="s">
        <v>177</v>
      </c>
      <c r="B98" s="3">
        <f xml:space="preserve"> dvlb * dctl</f>
        <v>18</v>
      </c>
      <c r="C98" s="1"/>
    </row>
    <row r="99" spans="1:3" ht="17" x14ac:dyDescent="0.25">
      <c r="A99" s="3" t="s">
        <v>180</v>
      </c>
      <c r="B99" s="3">
        <f xml:space="preserve"> jgpd * rftp</f>
        <v>26</v>
      </c>
      <c r="C99" s="1"/>
    </row>
    <row r="100" spans="1:3" ht="17" x14ac:dyDescent="0.25">
      <c r="A100" s="3" t="s">
        <v>183</v>
      </c>
      <c r="B100" s="3">
        <f xml:space="preserve"> sglm * jsqw</f>
        <v>205</v>
      </c>
      <c r="C100" s="1"/>
    </row>
    <row r="101" spans="1:3" ht="17" x14ac:dyDescent="0.25">
      <c r="A101" s="3" t="s">
        <v>186</v>
      </c>
      <c r="B101" s="3">
        <f>2</f>
        <v>2</v>
      </c>
      <c r="C101" s="1"/>
    </row>
    <row r="102" spans="1:3" ht="17" x14ac:dyDescent="0.25">
      <c r="A102" s="3" t="s">
        <v>187</v>
      </c>
      <c r="B102" s="3">
        <f>2</f>
        <v>2</v>
      </c>
      <c r="C102" s="1"/>
    </row>
    <row r="103" spans="1:3" ht="17" x14ac:dyDescent="0.25">
      <c r="A103" s="3" t="s">
        <v>188</v>
      </c>
      <c r="B103" s="3">
        <f xml:space="preserve"> vwpc * lsrv</f>
        <v>588</v>
      </c>
      <c r="C103" s="1"/>
    </row>
    <row r="104" spans="1:3" ht="17" x14ac:dyDescent="0.25">
      <c r="A104" s="3" t="s">
        <v>191</v>
      </c>
      <c r="B104" s="3">
        <f>2</f>
        <v>2</v>
      </c>
      <c r="C104" s="1"/>
    </row>
    <row r="105" spans="1:3" ht="17" x14ac:dyDescent="0.25">
      <c r="A105" s="3" t="s">
        <v>192</v>
      </c>
      <c r="B105" s="3">
        <f xml:space="preserve"> qqtc * hlzd</f>
        <v>10</v>
      </c>
      <c r="C105" s="1"/>
    </row>
    <row r="106" spans="1:3" ht="17" x14ac:dyDescent="0.25">
      <c r="A106" s="3" t="s">
        <v>195</v>
      </c>
      <c r="B106" s="3">
        <f xml:space="preserve"> pnbb + tfvn</f>
        <v>7</v>
      </c>
      <c r="C106" s="1"/>
    </row>
    <row r="107" spans="1:3" ht="17" x14ac:dyDescent="0.25">
      <c r="A107" s="3" t="s">
        <v>197</v>
      </c>
      <c r="B107" s="3">
        <f>4</f>
        <v>4</v>
      </c>
      <c r="C107" s="1"/>
    </row>
    <row r="108" spans="1:3" ht="17" x14ac:dyDescent="0.25">
      <c r="A108" s="3" t="s">
        <v>198</v>
      </c>
      <c r="B108" s="3">
        <f xml:space="preserve"> pgdm + rvfr</f>
        <v>11</v>
      </c>
      <c r="C108" s="1"/>
    </row>
    <row r="109" spans="1:3" ht="17" x14ac:dyDescent="0.25">
      <c r="A109" s="3" t="s">
        <v>201</v>
      </c>
      <c r="B109" s="3">
        <f xml:space="preserve"> smbd + jrrq</f>
        <v>180</v>
      </c>
      <c r="C109" s="1"/>
    </row>
    <row r="110" spans="1:3" ht="17" x14ac:dyDescent="0.25">
      <c r="A110" s="3" t="s">
        <v>204</v>
      </c>
      <c r="B110" s="3">
        <f xml:space="preserve"> flgh + qqbd</f>
        <v>4872293</v>
      </c>
      <c r="C110" s="1"/>
    </row>
    <row r="111" spans="1:3" ht="17" x14ac:dyDescent="0.25">
      <c r="A111" s="3" t="s">
        <v>207</v>
      </c>
      <c r="B111" s="3">
        <f>2</f>
        <v>2</v>
      </c>
      <c r="C111" s="1"/>
    </row>
    <row r="112" spans="1:3" ht="17" x14ac:dyDescent="0.25">
      <c r="A112" s="3" t="s">
        <v>34</v>
      </c>
      <c r="B112" s="3">
        <f>2</f>
        <v>2</v>
      </c>
      <c r="C112" s="1"/>
    </row>
    <row r="113" spans="1:3" ht="17" x14ac:dyDescent="0.25">
      <c r="A113" s="3" t="s">
        <v>208</v>
      </c>
      <c r="B113" s="3">
        <f xml:space="preserve"> lfgc * bbhz</f>
        <v>92</v>
      </c>
      <c r="C113" s="1"/>
    </row>
    <row r="114" spans="1:3" ht="17" x14ac:dyDescent="0.25">
      <c r="A114" s="3" t="s">
        <v>210</v>
      </c>
      <c r="B114" s="3">
        <f>4</f>
        <v>4</v>
      </c>
      <c r="C114" s="1"/>
    </row>
    <row r="115" spans="1:3" ht="17" x14ac:dyDescent="0.25">
      <c r="A115" s="3" t="s">
        <v>211</v>
      </c>
      <c r="B115" s="3">
        <f xml:space="preserve"> nmzl * jzhw</f>
        <v>88</v>
      </c>
      <c r="C115" s="1"/>
    </row>
    <row r="116" spans="1:3" ht="17" x14ac:dyDescent="0.25">
      <c r="A116" s="3" t="s">
        <v>214</v>
      </c>
      <c r="B116" s="3">
        <f xml:space="preserve"> gwpn * qmjn</f>
        <v>8351</v>
      </c>
      <c r="C116" s="1"/>
    </row>
    <row r="117" spans="1:3" ht="17" x14ac:dyDescent="0.25">
      <c r="A117" s="3" t="s">
        <v>217</v>
      </c>
      <c r="B117" s="3">
        <f>6</f>
        <v>6</v>
      </c>
      <c r="C117" s="1"/>
    </row>
    <row r="118" spans="1:3" ht="17" x14ac:dyDescent="0.25">
      <c r="A118" s="3" t="s">
        <v>218</v>
      </c>
      <c r="B118" s="3">
        <f>4</f>
        <v>4</v>
      </c>
      <c r="C118" s="1"/>
    </row>
    <row r="119" spans="1:3" ht="17" x14ac:dyDescent="0.25">
      <c r="A119" s="3" t="s">
        <v>219</v>
      </c>
      <c r="B119" s="3">
        <f>4</f>
        <v>4</v>
      </c>
      <c r="C119" s="1"/>
    </row>
    <row r="120" spans="1:3" ht="17" x14ac:dyDescent="0.25">
      <c r="A120" s="3" t="s">
        <v>220</v>
      </c>
      <c r="B120" s="3">
        <f xml:space="preserve"> dphb / rmhj</f>
        <v>43</v>
      </c>
      <c r="C120" s="1"/>
    </row>
    <row r="121" spans="1:3" ht="17" x14ac:dyDescent="0.25">
      <c r="A121" s="3" t="s">
        <v>222</v>
      </c>
      <c r="B121" s="3">
        <f>2</f>
        <v>2</v>
      </c>
      <c r="C121" s="1"/>
    </row>
    <row r="122" spans="1:3" ht="17" x14ac:dyDescent="0.25">
      <c r="A122" s="3" t="s">
        <v>223</v>
      </c>
      <c r="B122" s="3">
        <f>3</f>
        <v>3</v>
      </c>
      <c r="C122" s="1"/>
    </row>
    <row r="123" spans="1:3" ht="17" x14ac:dyDescent="0.25">
      <c r="A123" s="3" t="s">
        <v>224</v>
      </c>
      <c r="B123" s="3">
        <f xml:space="preserve"> drft + nptq</f>
        <v>8</v>
      </c>
      <c r="C123" s="1"/>
    </row>
    <row r="124" spans="1:3" ht="17" x14ac:dyDescent="0.25">
      <c r="A124" s="3" t="s">
        <v>227</v>
      </c>
      <c r="B124" s="3">
        <f>3</f>
        <v>3</v>
      </c>
      <c r="C124" s="1"/>
    </row>
    <row r="125" spans="1:3" ht="17" x14ac:dyDescent="0.25">
      <c r="A125" s="3" t="s">
        <v>228</v>
      </c>
      <c r="B125" s="3">
        <f xml:space="preserve"> trzp + wzfd</f>
        <v>101</v>
      </c>
      <c r="C125" s="1"/>
    </row>
    <row r="126" spans="1:3" ht="17" x14ac:dyDescent="0.25">
      <c r="A126" s="3" t="s">
        <v>231</v>
      </c>
      <c r="B126" s="3">
        <f>4</f>
        <v>4</v>
      </c>
      <c r="C126" s="1"/>
    </row>
    <row r="127" spans="1:3" ht="17" x14ac:dyDescent="0.25">
      <c r="A127" s="3" t="s">
        <v>232</v>
      </c>
      <c r="B127" s="3">
        <f>3</f>
        <v>3</v>
      </c>
      <c r="C127" s="1"/>
    </row>
    <row r="128" spans="1:3" ht="17" x14ac:dyDescent="0.25">
      <c r="A128" s="3" t="s">
        <v>233</v>
      </c>
      <c r="B128" s="3">
        <f>4</f>
        <v>4</v>
      </c>
      <c r="C128" s="1"/>
    </row>
    <row r="129" spans="1:3" ht="17" x14ac:dyDescent="0.25">
      <c r="A129" s="3" t="s">
        <v>202</v>
      </c>
      <c r="B129" s="3">
        <f>3</f>
        <v>3</v>
      </c>
      <c r="C129" s="1"/>
    </row>
    <row r="130" spans="1:3" ht="17" x14ac:dyDescent="0.25">
      <c r="A130" s="3" t="s">
        <v>234</v>
      </c>
      <c r="B130" s="3">
        <f>10</f>
        <v>10</v>
      </c>
      <c r="C130" s="1"/>
    </row>
    <row r="131" spans="1:3" ht="17" x14ac:dyDescent="0.25">
      <c r="A131" s="3" t="s">
        <v>235</v>
      </c>
      <c r="B131" s="3">
        <f xml:space="preserve"> gfsh + wtwv</f>
        <v>22</v>
      </c>
      <c r="C131" s="1"/>
    </row>
    <row r="132" spans="1:3" ht="17" x14ac:dyDescent="0.25">
      <c r="A132" s="3" t="s">
        <v>238</v>
      </c>
      <c r="B132" s="3">
        <f xml:space="preserve"> whcv * hqch</f>
        <v>800</v>
      </c>
      <c r="C132" s="1"/>
    </row>
    <row r="133" spans="1:3" ht="17" x14ac:dyDescent="0.25">
      <c r="A133" s="3" t="s">
        <v>241</v>
      </c>
      <c r="B133" s="3">
        <f>11</f>
        <v>11</v>
      </c>
      <c r="C133" s="1"/>
    </row>
    <row r="134" spans="1:3" ht="17" x14ac:dyDescent="0.25">
      <c r="A134" s="3" t="s">
        <v>242</v>
      </c>
      <c r="B134" s="3">
        <f xml:space="preserve"> jsvd * cbdg</f>
        <v>27106350826</v>
      </c>
      <c r="C134" s="1"/>
    </row>
    <row r="135" spans="1:3" ht="17" x14ac:dyDescent="0.25">
      <c r="A135" s="3" t="s">
        <v>244</v>
      </c>
      <c r="B135" s="3">
        <f xml:space="preserve"> gzmv * qdtj</f>
        <v>162313478</v>
      </c>
      <c r="C135" s="1"/>
    </row>
    <row r="136" spans="1:3" ht="17" x14ac:dyDescent="0.25">
      <c r="A136" s="3" t="s">
        <v>247</v>
      </c>
      <c r="B136" s="3">
        <f>3</f>
        <v>3</v>
      </c>
      <c r="C136" s="1"/>
    </row>
    <row r="137" spans="1:3" ht="17" x14ac:dyDescent="0.25">
      <c r="A137" s="3" t="s">
        <v>196</v>
      </c>
      <c r="B137" s="3">
        <f>2</f>
        <v>2</v>
      </c>
      <c r="C137" s="1"/>
    </row>
    <row r="138" spans="1:3" ht="17" x14ac:dyDescent="0.25">
      <c r="A138" s="3" t="s">
        <v>248</v>
      </c>
      <c r="B138" s="3">
        <f>11</f>
        <v>11</v>
      </c>
      <c r="C138" s="1"/>
    </row>
    <row r="139" spans="1:3" ht="17" x14ac:dyDescent="0.25">
      <c r="A139" s="3" t="s">
        <v>249</v>
      </c>
      <c r="B139" s="3">
        <f>3</f>
        <v>3</v>
      </c>
      <c r="C139" s="1"/>
    </row>
    <row r="140" spans="1:3" ht="17" x14ac:dyDescent="0.25">
      <c r="A140" s="3" t="s">
        <v>250</v>
      </c>
      <c r="B140" s="3">
        <f>2</f>
        <v>2</v>
      </c>
      <c r="C140" s="1"/>
    </row>
    <row r="141" spans="1:3" ht="17" x14ac:dyDescent="0.25">
      <c r="A141" s="3" t="s">
        <v>251</v>
      </c>
      <c r="B141" s="3">
        <f xml:space="preserve"> ztgr * mqst</f>
        <v>26</v>
      </c>
      <c r="C141" s="1"/>
    </row>
    <row r="142" spans="1:3" ht="17" x14ac:dyDescent="0.25">
      <c r="A142" s="3" t="s">
        <v>254</v>
      </c>
      <c r="B142" s="3">
        <f>3</f>
        <v>3</v>
      </c>
      <c r="C142" s="1"/>
    </row>
    <row r="143" spans="1:3" ht="17" x14ac:dyDescent="0.25">
      <c r="A143" s="3" t="s">
        <v>255</v>
      </c>
      <c r="B143" s="3">
        <f xml:space="preserve"> czqs * wzsn</f>
        <v>216</v>
      </c>
      <c r="C143" s="1"/>
    </row>
    <row r="144" spans="1:3" ht="17" x14ac:dyDescent="0.25">
      <c r="A144" s="3" t="s">
        <v>258</v>
      </c>
      <c r="B144" s="3">
        <f>1</f>
        <v>1</v>
      </c>
      <c r="C144" s="1"/>
    </row>
    <row r="145" spans="1:3" ht="17" x14ac:dyDescent="0.25">
      <c r="A145" s="3" t="s">
        <v>259</v>
      </c>
      <c r="B145" s="3">
        <f xml:space="preserve"> thth * zptv</f>
        <v>20</v>
      </c>
      <c r="C145" s="1"/>
    </row>
    <row r="146" spans="1:3" ht="17" x14ac:dyDescent="0.25">
      <c r="A146" s="3" t="s">
        <v>262</v>
      </c>
      <c r="B146" s="3">
        <f>8</f>
        <v>8</v>
      </c>
      <c r="C146" s="1"/>
    </row>
    <row r="147" spans="1:3" ht="17" x14ac:dyDescent="0.25">
      <c r="A147" s="3" t="s">
        <v>263</v>
      </c>
      <c r="B147" s="3">
        <f xml:space="preserve"> nvmr + ggfm</f>
        <v>7</v>
      </c>
      <c r="C147" s="1"/>
    </row>
    <row r="148" spans="1:3" ht="17" x14ac:dyDescent="0.25">
      <c r="A148" s="3" t="s">
        <v>266</v>
      </c>
      <c r="B148" s="3">
        <f>1</f>
        <v>1</v>
      </c>
      <c r="C148" s="1"/>
    </row>
    <row r="149" spans="1:3" ht="17" x14ac:dyDescent="0.25">
      <c r="A149" s="3" t="s">
        <v>267</v>
      </c>
      <c r="B149" s="3">
        <f>3</f>
        <v>3</v>
      </c>
      <c r="C149" s="1"/>
    </row>
    <row r="150" spans="1:3" ht="17" x14ac:dyDescent="0.25">
      <c r="A150" s="3" t="s">
        <v>268</v>
      </c>
      <c r="B150" s="3">
        <f xml:space="preserve"> rjhl + fhvc</f>
        <v>2610</v>
      </c>
      <c r="C150" s="1"/>
    </row>
    <row r="151" spans="1:3" ht="17" x14ac:dyDescent="0.25">
      <c r="A151" s="3" t="s">
        <v>271</v>
      </c>
      <c r="B151" s="3">
        <f xml:space="preserve"> mgzc * mccr</f>
        <v>120</v>
      </c>
      <c r="C151" s="1"/>
    </row>
    <row r="152" spans="1:3" ht="17" x14ac:dyDescent="0.25">
      <c r="A152" s="3" t="s">
        <v>274</v>
      </c>
      <c r="B152" s="3">
        <f xml:space="preserve"> rwwf + lfdb</f>
        <v>159071580888141</v>
      </c>
      <c r="C152" s="1"/>
    </row>
    <row r="153" spans="1:3" ht="17" x14ac:dyDescent="0.25">
      <c r="A153" s="3" t="s">
        <v>277</v>
      </c>
      <c r="B153" s="3">
        <f xml:space="preserve"> psdm * hhds</f>
        <v>63</v>
      </c>
      <c r="C153" s="1"/>
    </row>
    <row r="154" spans="1:3" ht="17" x14ac:dyDescent="0.25">
      <c r="A154" s="3" t="s">
        <v>280</v>
      </c>
      <c r="B154" s="3">
        <f xml:space="preserve"> jmqz * zwdd</f>
        <v>58</v>
      </c>
      <c r="C154" s="1"/>
    </row>
    <row r="155" spans="1:3" ht="17" x14ac:dyDescent="0.25">
      <c r="A155" s="3" t="s">
        <v>282</v>
      </c>
      <c r="B155" s="3">
        <f xml:space="preserve"> ggll + hpmd</f>
        <v>19</v>
      </c>
      <c r="C155" s="1"/>
    </row>
    <row r="156" spans="1:3" ht="17" x14ac:dyDescent="0.25">
      <c r="A156" s="3" t="s">
        <v>285</v>
      </c>
      <c r="B156" s="3">
        <f>5</f>
        <v>5</v>
      </c>
      <c r="C156" s="1"/>
    </row>
    <row r="157" spans="1:3" ht="17" x14ac:dyDescent="0.25">
      <c r="A157" s="3" t="s">
        <v>286</v>
      </c>
      <c r="B157" s="3">
        <f xml:space="preserve"> rwqw * vdbq</f>
        <v>1939</v>
      </c>
      <c r="C157" s="1"/>
    </row>
    <row r="158" spans="1:3" ht="17" x14ac:dyDescent="0.25">
      <c r="A158" s="3" t="s">
        <v>289</v>
      </c>
      <c r="B158" s="3">
        <f>3</f>
        <v>3</v>
      </c>
      <c r="C158" s="1"/>
    </row>
    <row r="159" spans="1:3" ht="17" x14ac:dyDescent="0.25">
      <c r="A159" s="3" t="s">
        <v>290</v>
      </c>
      <c r="B159" s="3">
        <f xml:space="preserve"> wwmq + gqlq</f>
        <v>27</v>
      </c>
      <c r="C159" s="1"/>
    </row>
    <row r="160" spans="1:3" ht="17" x14ac:dyDescent="0.25">
      <c r="A160" s="3" t="s">
        <v>293</v>
      </c>
      <c r="B160" s="3">
        <f>10</f>
        <v>10</v>
      </c>
      <c r="C160" s="1"/>
    </row>
    <row r="161" spans="1:3" ht="17" x14ac:dyDescent="0.25">
      <c r="A161" s="3" t="s">
        <v>229</v>
      </c>
      <c r="B161" s="3">
        <f xml:space="preserve"> fqhp * tcpf</f>
        <v>99</v>
      </c>
      <c r="C161" s="1"/>
    </row>
    <row r="162" spans="1:3" ht="17" x14ac:dyDescent="0.25">
      <c r="A162" s="3" t="s">
        <v>296</v>
      </c>
      <c r="B162" s="3">
        <f>5</f>
        <v>5</v>
      </c>
      <c r="C162" s="1"/>
    </row>
    <row r="163" spans="1:3" ht="17" x14ac:dyDescent="0.25">
      <c r="A163" s="3" t="s">
        <v>297</v>
      </c>
      <c r="B163" s="3">
        <f>2</f>
        <v>2</v>
      </c>
      <c r="C163" s="1"/>
    </row>
    <row r="164" spans="1:3" ht="17" x14ac:dyDescent="0.25">
      <c r="A164" s="3" t="s">
        <v>298</v>
      </c>
      <c r="B164" s="3">
        <f>2</f>
        <v>2</v>
      </c>
      <c r="C164" s="1"/>
    </row>
    <row r="165" spans="1:3" ht="17" x14ac:dyDescent="0.25">
      <c r="A165" s="3" t="s">
        <v>299</v>
      </c>
      <c r="B165" s="3">
        <f>6</f>
        <v>6</v>
      </c>
      <c r="C165" s="1"/>
    </row>
    <row r="166" spans="1:3" ht="17" x14ac:dyDescent="0.25">
      <c r="A166" s="3" t="s">
        <v>300</v>
      </c>
      <c r="B166" s="3">
        <f>3</f>
        <v>3</v>
      </c>
      <c r="C166" s="1"/>
    </row>
    <row r="167" spans="1:3" ht="17" x14ac:dyDescent="0.25">
      <c r="A167" s="3" t="s">
        <v>301</v>
      </c>
      <c r="B167" s="3">
        <f>7</f>
        <v>7</v>
      </c>
      <c r="C167" s="1"/>
    </row>
    <row r="168" spans="1:3" ht="17" x14ac:dyDescent="0.25">
      <c r="A168" s="3" t="s">
        <v>302</v>
      </c>
      <c r="B168" s="3">
        <f>5</f>
        <v>5</v>
      </c>
      <c r="C168" s="1"/>
    </row>
    <row r="169" spans="1:3" ht="17" x14ac:dyDescent="0.25">
      <c r="A169" s="3" t="s">
        <v>303</v>
      </c>
      <c r="B169" s="3">
        <f>4</f>
        <v>4</v>
      </c>
      <c r="C169" s="1"/>
    </row>
    <row r="170" spans="1:3" ht="17" x14ac:dyDescent="0.25">
      <c r="A170" s="3" t="s">
        <v>304</v>
      </c>
      <c r="B170" s="3">
        <f>3</f>
        <v>3</v>
      </c>
      <c r="C170" s="1"/>
    </row>
    <row r="171" spans="1:3" ht="17" x14ac:dyDescent="0.25">
      <c r="A171" s="3" t="s">
        <v>305</v>
      </c>
      <c r="B171" s="3">
        <f>2</f>
        <v>2</v>
      </c>
      <c r="C171" s="1"/>
    </row>
    <row r="172" spans="1:3" ht="17" x14ac:dyDescent="0.25">
      <c r="A172" s="3" t="s">
        <v>306</v>
      </c>
      <c r="B172" s="3">
        <f>8</f>
        <v>8</v>
      </c>
      <c r="C172" s="1"/>
    </row>
    <row r="173" spans="1:3" ht="17" x14ac:dyDescent="0.25">
      <c r="A173" s="3" t="s">
        <v>307</v>
      </c>
      <c r="B173" s="3">
        <f xml:space="preserve"> jpgp + mzmr</f>
        <v>1186</v>
      </c>
      <c r="C173" s="1"/>
    </row>
    <row r="174" spans="1:3" ht="17" x14ac:dyDescent="0.25">
      <c r="A174" s="3" t="s">
        <v>310</v>
      </c>
      <c r="B174" s="3">
        <f xml:space="preserve"> wqlf * pqmw</f>
        <v>56</v>
      </c>
      <c r="C174" s="1"/>
    </row>
    <row r="175" spans="1:3" ht="17" x14ac:dyDescent="0.25">
      <c r="A175" s="3" t="s">
        <v>313</v>
      </c>
      <c r="B175" s="3">
        <f>3</f>
        <v>3</v>
      </c>
      <c r="C175" s="1"/>
    </row>
    <row r="176" spans="1:3" ht="17" x14ac:dyDescent="0.25">
      <c r="A176" s="3" t="s">
        <v>314</v>
      </c>
      <c r="B176" s="3">
        <f xml:space="preserve"> wsfs + rpdf</f>
        <v>129</v>
      </c>
      <c r="C176" s="1"/>
    </row>
    <row r="177" spans="1:3" ht="17" x14ac:dyDescent="0.25">
      <c r="A177" s="3" t="s">
        <v>317</v>
      </c>
      <c r="B177" s="3">
        <f xml:space="preserve"> jgmg * bcmd</f>
        <v>6</v>
      </c>
      <c r="C177" s="1"/>
    </row>
    <row r="178" spans="1:3" ht="17" x14ac:dyDescent="0.25">
      <c r="A178" s="3" t="s">
        <v>320</v>
      </c>
      <c r="B178" s="3">
        <f>5</f>
        <v>5</v>
      </c>
      <c r="C178" s="1"/>
    </row>
    <row r="179" spans="1:3" ht="17" x14ac:dyDescent="0.25">
      <c r="A179" s="3" t="s">
        <v>321</v>
      </c>
      <c r="B179" s="3">
        <f xml:space="preserve"> ndbs * dczh</f>
        <v>32</v>
      </c>
      <c r="C179" s="1"/>
    </row>
    <row r="180" spans="1:3" ht="17" x14ac:dyDescent="0.25">
      <c r="A180" s="3" t="s">
        <v>324</v>
      </c>
      <c r="B180" s="3">
        <f xml:space="preserve"> pgts * jpsb</f>
        <v>20</v>
      </c>
      <c r="C180" s="1"/>
    </row>
    <row r="181" spans="1:3" ht="17" x14ac:dyDescent="0.25">
      <c r="A181" s="3" t="s">
        <v>326</v>
      </c>
      <c r="B181" s="3">
        <f>5</f>
        <v>5</v>
      </c>
      <c r="C181" s="1"/>
    </row>
    <row r="182" spans="1:3" ht="17" x14ac:dyDescent="0.25">
      <c r="A182" s="3" t="s">
        <v>327</v>
      </c>
      <c r="B182" s="3">
        <f xml:space="preserve"> gdrl + lsdf</f>
        <v>83</v>
      </c>
      <c r="C182" s="1"/>
    </row>
    <row r="183" spans="1:3" ht="17" x14ac:dyDescent="0.25">
      <c r="A183" s="3" t="s">
        <v>330</v>
      </c>
      <c r="B183" s="3">
        <f xml:space="preserve"> pwrg * ppwg</f>
        <v>28405639443750</v>
      </c>
      <c r="C183" s="1"/>
    </row>
    <row r="184" spans="1:3" ht="17" x14ac:dyDescent="0.25">
      <c r="A184" s="3" t="s">
        <v>333</v>
      </c>
      <c r="B184" s="3">
        <f>2</f>
        <v>2</v>
      </c>
      <c r="C184" s="1"/>
    </row>
    <row r="185" spans="1:3" ht="17" x14ac:dyDescent="0.25">
      <c r="A185" s="3" t="s">
        <v>334</v>
      </c>
      <c r="B185" s="3">
        <f>4</f>
        <v>4</v>
      </c>
      <c r="C185" s="1"/>
    </row>
    <row r="186" spans="1:3" ht="17" x14ac:dyDescent="0.25">
      <c r="A186" s="3" t="s">
        <v>335</v>
      </c>
      <c r="B186" s="3">
        <f xml:space="preserve"> dtdj * vsqt</f>
        <v>74</v>
      </c>
      <c r="C186" s="1"/>
    </row>
    <row r="187" spans="1:3" ht="17" x14ac:dyDescent="0.25">
      <c r="A187" s="3" t="s">
        <v>338</v>
      </c>
      <c r="B187" s="3">
        <f>4</f>
        <v>4</v>
      </c>
      <c r="C187" s="1"/>
    </row>
    <row r="188" spans="1:3" ht="17" x14ac:dyDescent="0.25">
      <c r="A188" s="3" t="s">
        <v>339</v>
      </c>
      <c r="B188" s="3">
        <f xml:space="preserve"> jldj - cglz</f>
        <v>1553</v>
      </c>
      <c r="C188" s="1"/>
    </row>
    <row r="189" spans="1:3" ht="17" x14ac:dyDescent="0.25">
      <c r="A189" s="3" t="s">
        <v>342</v>
      </c>
      <c r="B189" s="3">
        <f>2</f>
        <v>2</v>
      </c>
      <c r="C189" s="1"/>
    </row>
    <row r="190" spans="1:3" ht="17" x14ac:dyDescent="0.25">
      <c r="A190" s="3" t="s">
        <v>120</v>
      </c>
      <c r="B190" s="3">
        <f xml:space="preserve"> nfnw * wjlh</f>
        <v>63</v>
      </c>
      <c r="C190" s="1"/>
    </row>
    <row r="191" spans="1:3" ht="17" x14ac:dyDescent="0.25">
      <c r="A191" s="3" t="s">
        <v>345</v>
      </c>
      <c r="B191" s="3">
        <f xml:space="preserve"> bvvc * grws</f>
        <v>104</v>
      </c>
      <c r="C191" s="1"/>
    </row>
    <row r="192" spans="1:3" ht="17" x14ac:dyDescent="0.25">
      <c r="A192" s="3" t="s">
        <v>348</v>
      </c>
      <c r="B192" s="3">
        <f xml:space="preserve"> ccnp + wsbv</f>
        <v>318</v>
      </c>
      <c r="C192" s="1"/>
    </row>
    <row r="193" spans="1:3" ht="17" x14ac:dyDescent="0.25">
      <c r="A193" s="3" t="s">
        <v>350</v>
      </c>
      <c r="B193" s="3">
        <f xml:space="preserve"> nqjg + qbbv</f>
        <v>36</v>
      </c>
      <c r="C193" s="1"/>
    </row>
    <row r="194" spans="1:3" ht="17" x14ac:dyDescent="0.25">
      <c r="A194" s="3" t="s">
        <v>353</v>
      </c>
      <c r="B194" s="3">
        <f xml:space="preserve"> wdwp + pdbf</f>
        <v>26</v>
      </c>
      <c r="C194" s="1"/>
    </row>
    <row r="195" spans="1:3" ht="17" x14ac:dyDescent="0.25">
      <c r="A195" s="3" t="s">
        <v>316</v>
      </c>
      <c r="B195" s="3">
        <f xml:space="preserve"> fzwr + fhrb</f>
        <v>55</v>
      </c>
      <c r="C195" s="1"/>
    </row>
    <row r="196" spans="1:3" ht="17" x14ac:dyDescent="0.25">
      <c r="A196" s="3" t="s">
        <v>358</v>
      </c>
      <c r="B196" s="3">
        <f>2</f>
        <v>2</v>
      </c>
      <c r="C196" s="1"/>
    </row>
    <row r="197" spans="1:3" ht="17" x14ac:dyDescent="0.25">
      <c r="A197" s="3" t="s">
        <v>66</v>
      </c>
      <c r="B197" s="3">
        <f xml:space="preserve"> mcbj * dmmh</f>
        <v>6</v>
      </c>
      <c r="C197" s="1"/>
    </row>
    <row r="198" spans="1:3" ht="17" x14ac:dyDescent="0.25">
      <c r="A198" s="3" t="s">
        <v>361</v>
      </c>
      <c r="B198" s="3">
        <f>5</f>
        <v>5</v>
      </c>
      <c r="C198" s="1"/>
    </row>
    <row r="199" spans="1:3" ht="17" x14ac:dyDescent="0.25">
      <c r="A199" s="3" t="s">
        <v>362</v>
      </c>
      <c r="B199" s="3">
        <f>3</f>
        <v>3</v>
      </c>
      <c r="C199" s="1"/>
    </row>
    <row r="200" spans="1:3" ht="17" x14ac:dyDescent="0.25">
      <c r="A200" s="3" t="s">
        <v>246</v>
      </c>
      <c r="B200" s="3">
        <f>2</f>
        <v>2</v>
      </c>
      <c r="C200" s="1"/>
    </row>
    <row r="201" spans="1:3" ht="17" x14ac:dyDescent="0.25">
      <c r="A201" s="3" t="s">
        <v>363</v>
      </c>
      <c r="B201" s="3">
        <f xml:space="preserve"> lhfl + twrb</f>
        <v>37</v>
      </c>
      <c r="C201" s="1"/>
    </row>
    <row r="202" spans="1:3" ht="17" x14ac:dyDescent="0.25">
      <c r="A202" s="3" t="s">
        <v>366</v>
      </c>
      <c r="B202" s="3">
        <f>1</f>
        <v>1</v>
      </c>
      <c r="C202" s="1"/>
    </row>
    <row r="203" spans="1:3" ht="17" x14ac:dyDescent="0.25">
      <c r="A203" s="3" t="s">
        <v>367</v>
      </c>
      <c r="B203" s="3">
        <f xml:space="preserve"> wwzp + wdnv</f>
        <v>7</v>
      </c>
      <c r="C203" s="1"/>
    </row>
    <row r="204" spans="1:3" ht="17" x14ac:dyDescent="0.25">
      <c r="A204" s="3" t="s">
        <v>370</v>
      </c>
      <c r="B204" s="3">
        <f>2</f>
        <v>2</v>
      </c>
      <c r="C204" s="1"/>
    </row>
    <row r="205" spans="1:3" ht="17" x14ac:dyDescent="0.25">
      <c r="A205" s="3" t="s">
        <v>371</v>
      </c>
      <c r="B205" s="3">
        <f>17</f>
        <v>17</v>
      </c>
      <c r="C205" s="1"/>
    </row>
    <row r="206" spans="1:3" ht="17" x14ac:dyDescent="0.25">
      <c r="A206" s="3" t="s">
        <v>372</v>
      </c>
      <c r="B206" s="3">
        <f>5</f>
        <v>5</v>
      </c>
      <c r="C206" s="1"/>
    </row>
    <row r="207" spans="1:3" ht="17" x14ac:dyDescent="0.25">
      <c r="A207" s="3" t="s">
        <v>373</v>
      </c>
      <c r="B207" s="3">
        <f xml:space="preserve"> wmmt + vwff</f>
        <v>7</v>
      </c>
      <c r="C207" s="1"/>
    </row>
    <row r="208" spans="1:3" ht="17" x14ac:dyDescent="0.25">
      <c r="A208" s="3" t="s">
        <v>376</v>
      </c>
      <c r="B208" s="3">
        <f>11</f>
        <v>11</v>
      </c>
      <c r="C208" s="1"/>
    </row>
    <row r="209" spans="1:3" ht="17" x14ac:dyDescent="0.25">
      <c r="A209" s="3" t="s">
        <v>377</v>
      </c>
      <c r="B209" s="3">
        <f>5</f>
        <v>5</v>
      </c>
      <c r="C209" s="1"/>
    </row>
    <row r="210" spans="1:3" ht="17" x14ac:dyDescent="0.25">
      <c r="A210" s="3" t="s">
        <v>378</v>
      </c>
      <c r="B210" s="3">
        <f>2</f>
        <v>2</v>
      </c>
      <c r="C210" s="1"/>
    </row>
    <row r="211" spans="1:3" ht="17" x14ac:dyDescent="0.25">
      <c r="A211" s="3" t="s">
        <v>135</v>
      </c>
      <c r="B211" s="3">
        <f>2</f>
        <v>2</v>
      </c>
      <c r="C211" s="1"/>
    </row>
    <row r="212" spans="1:3" ht="17" x14ac:dyDescent="0.25">
      <c r="A212" s="3" t="s">
        <v>379</v>
      </c>
      <c r="B212" s="3">
        <f xml:space="preserve"> lsbq * wzdf</f>
        <v>2405</v>
      </c>
      <c r="C212" s="1"/>
    </row>
    <row r="213" spans="1:3" ht="17" x14ac:dyDescent="0.25">
      <c r="A213" s="3" t="s">
        <v>382</v>
      </c>
      <c r="B213" s="3">
        <f>14</f>
        <v>14</v>
      </c>
      <c r="C213" s="1"/>
    </row>
    <row r="214" spans="1:3" ht="17" x14ac:dyDescent="0.25">
      <c r="A214" s="3" t="s">
        <v>383</v>
      </c>
      <c r="B214" s="3">
        <f xml:space="preserve"> blqj * glws</f>
        <v>58</v>
      </c>
      <c r="C214" s="1"/>
    </row>
    <row r="215" spans="1:3" ht="17" x14ac:dyDescent="0.25">
      <c r="A215" s="3" t="s">
        <v>386</v>
      </c>
      <c r="B215" s="3">
        <f>2</f>
        <v>2</v>
      </c>
      <c r="C215" s="1"/>
    </row>
    <row r="216" spans="1:3" ht="17" x14ac:dyDescent="0.25">
      <c r="A216" s="3" t="s">
        <v>387</v>
      </c>
      <c r="B216" s="3">
        <f>5</f>
        <v>5</v>
      </c>
      <c r="C216" s="1"/>
    </row>
    <row r="217" spans="1:3" ht="17" x14ac:dyDescent="0.25">
      <c r="A217" s="3" t="s">
        <v>388</v>
      </c>
      <c r="B217" s="3">
        <f>4</f>
        <v>4</v>
      </c>
      <c r="C217" s="1"/>
    </row>
    <row r="218" spans="1:3" ht="17" x14ac:dyDescent="0.25">
      <c r="A218" s="3" t="s">
        <v>389</v>
      </c>
      <c r="B218" s="3">
        <f>3</f>
        <v>3</v>
      </c>
      <c r="C218" s="1"/>
    </row>
    <row r="219" spans="1:3" ht="17" x14ac:dyDescent="0.25">
      <c r="A219" s="3" t="s">
        <v>390</v>
      </c>
      <c r="B219" s="3">
        <f xml:space="preserve"> mftz + dfrl</f>
        <v>83</v>
      </c>
      <c r="C219" s="1"/>
    </row>
    <row r="220" spans="1:3" ht="17" x14ac:dyDescent="0.25">
      <c r="A220" s="3" t="s">
        <v>393</v>
      </c>
      <c r="B220" s="3">
        <f xml:space="preserve"> mqzg + bcdg</f>
        <v>29</v>
      </c>
      <c r="C220" s="1"/>
    </row>
    <row r="221" spans="1:3" ht="17" x14ac:dyDescent="0.25">
      <c r="A221" s="3" t="s">
        <v>396</v>
      </c>
      <c r="B221" s="3">
        <f xml:space="preserve"> bjpr + qmdr</f>
        <v>7</v>
      </c>
      <c r="C221" s="1"/>
    </row>
    <row r="222" spans="1:3" ht="17" x14ac:dyDescent="0.25">
      <c r="A222" s="3" t="s">
        <v>399</v>
      </c>
      <c r="B222" s="3">
        <f>2</f>
        <v>2</v>
      </c>
      <c r="C222" s="1"/>
    </row>
    <row r="223" spans="1:3" ht="17" x14ac:dyDescent="0.25">
      <c r="A223" s="3" t="s">
        <v>400</v>
      </c>
      <c r="B223" s="3">
        <f xml:space="preserve"> nrpj + vvhd</f>
        <v>73</v>
      </c>
      <c r="C223" s="1"/>
    </row>
    <row r="224" spans="1:3" ht="17" x14ac:dyDescent="0.25">
      <c r="A224" s="3" t="s">
        <v>403</v>
      </c>
      <c r="B224" s="3">
        <f xml:space="preserve"> vthq + zfsf</f>
        <v>11</v>
      </c>
      <c r="C224" s="1"/>
    </row>
    <row r="225" spans="1:3" ht="17" x14ac:dyDescent="0.25">
      <c r="A225" s="3" t="s">
        <v>406</v>
      </c>
      <c r="B225" s="3">
        <f>4</f>
        <v>4</v>
      </c>
      <c r="C225" s="1"/>
    </row>
    <row r="226" spans="1:3" ht="17" x14ac:dyDescent="0.25">
      <c r="A226" s="3" t="s">
        <v>407</v>
      </c>
      <c r="B226" s="3">
        <f>8</f>
        <v>8</v>
      </c>
      <c r="C226" s="1"/>
    </row>
    <row r="227" spans="1:3" ht="17" x14ac:dyDescent="0.25">
      <c r="A227" s="3" t="s">
        <v>408</v>
      </c>
      <c r="B227" s="3">
        <f>2</f>
        <v>2</v>
      </c>
      <c r="C227" s="1"/>
    </row>
    <row r="228" spans="1:3" ht="17" x14ac:dyDescent="0.25">
      <c r="A228" s="3" t="s">
        <v>409</v>
      </c>
      <c r="B228" s="3">
        <f xml:space="preserve"> dpcf + smjj</f>
        <v>885</v>
      </c>
      <c r="C228" s="1"/>
    </row>
    <row r="229" spans="1:3" ht="17" x14ac:dyDescent="0.25">
      <c r="A229" s="3" t="s">
        <v>412</v>
      </c>
      <c r="B229" s="3">
        <f>2</f>
        <v>2</v>
      </c>
      <c r="C229" s="1"/>
    </row>
    <row r="230" spans="1:3" ht="17" x14ac:dyDescent="0.25">
      <c r="A230" s="3" t="s">
        <v>413</v>
      </c>
      <c r="B230" s="3">
        <f>2</f>
        <v>2</v>
      </c>
      <c r="C230" s="1"/>
    </row>
    <row r="231" spans="1:3" ht="17" x14ac:dyDescent="0.25">
      <c r="A231" s="3" t="s">
        <v>414</v>
      </c>
      <c r="B231" s="3">
        <f xml:space="preserve"> dbqw * bgjf</f>
        <v>25</v>
      </c>
      <c r="C231" s="1"/>
    </row>
    <row r="232" spans="1:3" ht="17" x14ac:dyDescent="0.25">
      <c r="A232" s="3" t="s">
        <v>194</v>
      </c>
      <c r="B232" s="3">
        <f>5</f>
        <v>5</v>
      </c>
      <c r="C232" s="1"/>
    </row>
    <row r="233" spans="1:3" ht="17" x14ac:dyDescent="0.25">
      <c r="A233" s="3" t="s">
        <v>417</v>
      </c>
      <c r="B233" s="3">
        <f>2</f>
        <v>2</v>
      </c>
      <c r="C233" s="1"/>
    </row>
    <row r="234" spans="1:3" ht="17" x14ac:dyDescent="0.25">
      <c r="A234" s="3" t="s">
        <v>418</v>
      </c>
      <c r="B234" s="3">
        <f>4</f>
        <v>4</v>
      </c>
      <c r="C234" s="1"/>
    </row>
    <row r="235" spans="1:3" ht="17" x14ac:dyDescent="0.25">
      <c r="A235" s="3" t="s">
        <v>419</v>
      </c>
      <c r="B235" s="3">
        <f xml:space="preserve"> pgzn - mfzn</f>
        <v>51130150999159</v>
      </c>
      <c r="C235" s="1"/>
    </row>
    <row r="236" spans="1:3" ht="17" x14ac:dyDescent="0.25">
      <c r="A236" s="3" t="s">
        <v>422</v>
      </c>
      <c r="B236" s="3">
        <f>3</f>
        <v>3</v>
      </c>
      <c r="C236" s="1"/>
    </row>
    <row r="237" spans="1:3" ht="17" x14ac:dyDescent="0.25">
      <c r="A237" s="3" t="s">
        <v>291</v>
      </c>
      <c r="B237" s="3">
        <f xml:space="preserve"> gchw + pqhs</f>
        <v>17</v>
      </c>
      <c r="C237" s="1"/>
    </row>
    <row r="238" spans="1:3" ht="17" x14ac:dyDescent="0.25">
      <c r="A238" s="3" t="s">
        <v>425</v>
      </c>
      <c r="B238" s="3">
        <f xml:space="preserve"> prwg * jdwq</f>
        <v>65</v>
      </c>
      <c r="C238" s="1"/>
    </row>
    <row r="239" spans="1:3" ht="17" x14ac:dyDescent="0.25">
      <c r="A239" s="3" t="s">
        <v>428</v>
      </c>
      <c r="B239" s="3">
        <f xml:space="preserve"> wqch + bnmr</f>
        <v>71</v>
      </c>
      <c r="C239" s="1"/>
    </row>
    <row r="240" spans="1:3" ht="17" x14ac:dyDescent="0.25">
      <c r="A240" s="3" t="s">
        <v>331</v>
      </c>
      <c r="B240" s="3">
        <f xml:space="preserve"> cbsm - cdhh</f>
        <v>5681127888750</v>
      </c>
      <c r="C240" s="1"/>
    </row>
    <row r="241" spans="1:3" ht="17" x14ac:dyDescent="0.25">
      <c r="A241" s="3" t="s">
        <v>433</v>
      </c>
      <c r="B241" s="3">
        <f xml:space="preserve"> wbrr + lpmb</f>
        <v>7</v>
      </c>
      <c r="C241" s="1"/>
    </row>
    <row r="242" spans="1:3" ht="17" x14ac:dyDescent="0.25">
      <c r="A242" s="3" t="s">
        <v>436</v>
      </c>
      <c r="B242" s="3">
        <f xml:space="preserve"> qdzq / wfjf</f>
        <v>26511930148147</v>
      </c>
      <c r="C242" s="1"/>
    </row>
    <row r="243" spans="1:3" ht="17" x14ac:dyDescent="0.25">
      <c r="A243" s="3" t="s">
        <v>439</v>
      </c>
      <c r="B243" s="3">
        <f xml:space="preserve"> ljng + gmsj</f>
        <v>269</v>
      </c>
      <c r="C243" s="1"/>
    </row>
    <row r="244" spans="1:3" ht="17" x14ac:dyDescent="0.25">
      <c r="A244" s="3" t="s">
        <v>441</v>
      </c>
      <c r="B244" s="3">
        <f>5</f>
        <v>5</v>
      </c>
      <c r="C244" s="1"/>
    </row>
    <row r="245" spans="1:3" ht="17" x14ac:dyDescent="0.25">
      <c r="A245" s="3" t="s">
        <v>442</v>
      </c>
      <c r="B245" s="3">
        <f xml:space="preserve"> btpg * swtj</f>
        <v>27913</v>
      </c>
      <c r="C245" s="1"/>
    </row>
    <row r="246" spans="1:3" ht="17" x14ac:dyDescent="0.25">
      <c r="A246" s="3" t="s">
        <v>445</v>
      </c>
      <c r="B246" s="3">
        <f xml:space="preserve"> htww * dwpw</f>
        <v>6</v>
      </c>
      <c r="C246" s="1"/>
    </row>
    <row r="247" spans="1:3" ht="17" x14ac:dyDescent="0.25">
      <c r="A247" s="3" t="s">
        <v>448</v>
      </c>
      <c r="B247" s="3">
        <f>2</f>
        <v>2</v>
      </c>
      <c r="C247" s="1"/>
    </row>
    <row r="248" spans="1:3" ht="17" x14ac:dyDescent="0.25">
      <c r="A248" s="3" t="s">
        <v>449</v>
      </c>
      <c r="B248" s="3">
        <f xml:space="preserve"> qzrj * tsnv</f>
        <v>34</v>
      </c>
      <c r="C248" s="1"/>
    </row>
    <row r="249" spans="1:3" ht="17" x14ac:dyDescent="0.25">
      <c r="A249" s="3" t="s">
        <v>451</v>
      </c>
      <c r="B249" s="3">
        <f>2</f>
        <v>2</v>
      </c>
      <c r="C249" s="1"/>
    </row>
    <row r="250" spans="1:3" ht="17" x14ac:dyDescent="0.25">
      <c r="A250" s="3" t="s">
        <v>452</v>
      </c>
      <c r="B250" s="3">
        <f xml:space="preserve"> cwnw * wdvh</f>
        <v>794</v>
      </c>
      <c r="C250" s="1"/>
    </row>
    <row r="251" spans="1:3" ht="17" x14ac:dyDescent="0.25">
      <c r="A251" s="3" t="s">
        <v>455</v>
      </c>
      <c r="B251" s="3">
        <f>1</f>
        <v>1</v>
      </c>
      <c r="C251" s="1"/>
    </row>
    <row r="252" spans="1:3" ht="17" x14ac:dyDescent="0.25">
      <c r="A252" s="3" t="s">
        <v>456</v>
      </c>
      <c r="B252" s="3">
        <f>3</f>
        <v>3</v>
      </c>
      <c r="C252" s="1"/>
    </row>
    <row r="253" spans="1:3" ht="17" x14ac:dyDescent="0.25">
      <c r="A253" s="3" t="s">
        <v>457</v>
      </c>
      <c r="B253" s="3">
        <f xml:space="preserve"> qcst * ctgg</f>
        <v>51</v>
      </c>
      <c r="C253" s="1"/>
    </row>
    <row r="254" spans="1:3" ht="17" x14ac:dyDescent="0.25">
      <c r="A254" s="3" t="s">
        <v>460</v>
      </c>
      <c r="B254" s="3">
        <f>2</f>
        <v>2</v>
      </c>
      <c r="C254" s="1"/>
    </row>
    <row r="255" spans="1:3" ht="17" x14ac:dyDescent="0.25">
      <c r="A255" s="3" t="s">
        <v>461</v>
      </c>
      <c r="B255" s="3">
        <f>2</f>
        <v>2</v>
      </c>
      <c r="C255" s="1"/>
    </row>
    <row r="256" spans="1:3" ht="17" x14ac:dyDescent="0.25">
      <c r="A256" s="3" t="s">
        <v>462</v>
      </c>
      <c r="B256" s="3">
        <f xml:space="preserve"> mgzs * nwbb</f>
        <v>87</v>
      </c>
      <c r="C256" s="1"/>
    </row>
    <row r="257" spans="1:3" ht="17" x14ac:dyDescent="0.25">
      <c r="A257" s="3" t="s">
        <v>463</v>
      </c>
      <c r="B257" s="3">
        <f xml:space="preserve"> ljtw + wclb</f>
        <v>10586677</v>
      </c>
      <c r="C257" s="1"/>
    </row>
    <row r="258" spans="1:3" ht="17" x14ac:dyDescent="0.25">
      <c r="A258" s="3" t="s">
        <v>466</v>
      </c>
      <c r="B258" s="3">
        <f xml:space="preserve"> qqdj * fssq</f>
        <v>6</v>
      </c>
      <c r="C258" s="1"/>
    </row>
    <row r="259" spans="1:3" ht="17" x14ac:dyDescent="0.25">
      <c r="A259" s="3" t="s">
        <v>469</v>
      </c>
      <c r="B259" s="3">
        <f xml:space="preserve"> szgs - thjb</f>
        <v>193</v>
      </c>
      <c r="C259" s="1"/>
    </row>
    <row r="260" spans="1:3" ht="17" x14ac:dyDescent="0.25">
      <c r="A260" s="3" t="s">
        <v>472</v>
      </c>
      <c r="B260" s="3">
        <f xml:space="preserve"> nmjq + twql</f>
        <v>14</v>
      </c>
      <c r="C260" s="1"/>
    </row>
    <row r="261" spans="1:3" ht="17" x14ac:dyDescent="0.25">
      <c r="A261" s="3" t="s">
        <v>474</v>
      </c>
      <c r="B261" s="3">
        <f xml:space="preserve"> bvpf + zdbl</f>
        <v>15</v>
      </c>
      <c r="C261" s="1"/>
    </row>
    <row r="262" spans="1:3" ht="17" x14ac:dyDescent="0.25">
      <c r="A262" s="3" t="s">
        <v>477</v>
      </c>
      <c r="B262" s="3">
        <f>2</f>
        <v>2</v>
      </c>
      <c r="C262" s="1"/>
    </row>
    <row r="263" spans="1:3" ht="17" x14ac:dyDescent="0.25">
      <c r="A263" s="3" t="s">
        <v>478</v>
      </c>
      <c r="B263" s="3">
        <f>2</f>
        <v>2</v>
      </c>
      <c r="C263" s="1"/>
    </row>
    <row r="264" spans="1:3" ht="17" x14ac:dyDescent="0.25">
      <c r="A264" s="3" t="s">
        <v>479</v>
      </c>
      <c r="B264" s="3">
        <f xml:space="preserve"> hsfn + smvj</f>
        <v>14</v>
      </c>
      <c r="C264" s="1"/>
    </row>
    <row r="265" spans="1:3" ht="17" x14ac:dyDescent="0.25">
      <c r="A265" s="3" t="s">
        <v>482</v>
      </c>
      <c r="B265" s="3">
        <f>13</f>
        <v>13</v>
      </c>
      <c r="C265" s="1"/>
    </row>
    <row r="266" spans="1:3" ht="17" x14ac:dyDescent="0.25">
      <c r="A266" s="3" t="s">
        <v>483</v>
      </c>
      <c r="B266" s="3">
        <f>2</f>
        <v>2</v>
      </c>
      <c r="C266" s="1"/>
    </row>
    <row r="267" spans="1:3" ht="17" x14ac:dyDescent="0.25">
      <c r="A267" s="3" t="s">
        <v>484</v>
      </c>
      <c r="B267" s="3">
        <f xml:space="preserve"> hpdz / qtwd</f>
        <v>417</v>
      </c>
      <c r="C267" s="1"/>
    </row>
    <row r="268" spans="1:3" ht="17" x14ac:dyDescent="0.25">
      <c r="A268" s="3" t="s">
        <v>487</v>
      </c>
      <c r="B268" s="3">
        <f>10</f>
        <v>10</v>
      </c>
      <c r="C268" s="1"/>
    </row>
    <row r="269" spans="1:3" ht="17" x14ac:dyDescent="0.25">
      <c r="A269" s="3" t="s">
        <v>488</v>
      </c>
      <c r="B269" s="3">
        <f>1</f>
        <v>1</v>
      </c>
      <c r="C269" s="1"/>
    </row>
    <row r="270" spans="1:3" ht="17" x14ac:dyDescent="0.25">
      <c r="A270" s="3" t="s">
        <v>489</v>
      </c>
      <c r="B270" s="3">
        <f>3</f>
        <v>3</v>
      </c>
      <c r="C270" s="1"/>
    </row>
    <row r="271" spans="1:3" ht="17" x14ac:dyDescent="0.25">
      <c r="A271" s="3" t="s">
        <v>490</v>
      </c>
      <c r="B271" s="3">
        <f>7</f>
        <v>7</v>
      </c>
      <c r="C271" s="1"/>
    </row>
    <row r="272" spans="1:3" ht="17" x14ac:dyDescent="0.25">
      <c r="A272" s="3" t="s">
        <v>491</v>
      </c>
      <c r="B272" s="3">
        <f xml:space="preserve"> qvmg * ccft</f>
        <v>250</v>
      </c>
      <c r="C272" s="1"/>
    </row>
    <row r="273" spans="1:3" ht="17" x14ac:dyDescent="0.25">
      <c r="A273" s="3" t="s">
        <v>493</v>
      </c>
      <c r="B273" s="3">
        <f>6</f>
        <v>6</v>
      </c>
      <c r="C273" s="1"/>
    </row>
    <row r="274" spans="1:3" ht="17" x14ac:dyDescent="0.25">
      <c r="A274" s="3" t="s">
        <v>494</v>
      </c>
      <c r="B274" s="3">
        <f>9</f>
        <v>9</v>
      </c>
      <c r="C274" s="1"/>
    </row>
    <row r="275" spans="1:3" ht="17" x14ac:dyDescent="0.25">
      <c r="A275" s="3" t="s">
        <v>495</v>
      </c>
      <c r="B275" s="3">
        <f xml:space="preserve"> dfld * nlzv</f>
        <v>39</v>
      </c>
      <c r="C275" s="1"/>
    </row>
    <row r="276" spans="1:3" ht="17" x14ac:dyDescent="0.25">
      <c r="A276" s="3" t="s">
        <v>498</v>
      </c>
      <c r="B276" s="3">
        <f>4</f>
        <v>4</v>
      </c>
      <c r="C276" s="1"/>
    </row>
    <row r="277" spans="1:3" ht="17" x14ac:dyDescent="0.25">
      <c r="A277" s="3" t="s">
        <v>499</v>
      </c>
      <c r="B277" s="3">
        <f xml:space="preserve"> qdbz - tzsp</f>
        <v>542</v>
      </c>
      <c r="C277" s="1"/>
    </row>
    <row r="278" spans="1:3" ht="17" x14ac:dyDescent="0.25">
      <c r="A278" s="3" t="s">
        <v>502</v>
      </c>
      <c r="B278" s="3">
        <f>12</f>
        <v>12</v>
      </c>
      <c r="C278" s="1"/>
    </row>
    <row r="279" spans="1:3" ht="17" x14ac:dyDescent="0.25">
      <c r="A279" s="3" t="s">
        <v>503</v>
      </c>
      <c r="B279" s="3">
        <f xml:space="preserve"> bwdg * mhmw</f>
        <v>14</v>
      </c>
      <c r="C279" s="1"/>
    </row>
    <row r="280" spans="1:3" ht="17" x14ac:dyDescent="0.25">
      <c r="A280" s="3" t="s">
        <v>506</v>
      </c>
      <c r="B280" s="3">
        <f xml:space="preserve"> mhtm - fjzq</f>
        <v>109</v>
      </c>
      <c r="C280" s="1"/>
    </row>
    <row r="281" spans="1:3" ht="17" x14ac:dyDescent="0.25">
      <c r="A281" s="3" t="s">
        <v>269</v>
      </c>
      <c r="B281" s="3">
        <f xml:space="preserve"> vqgm * qnnl</f>
        <v>993</v>
      </c>
      <c r="C281" s="1"/>
    </row>
    <row r="282" spans="1:3" ht="17" x14ac:dyDescent="0.25">
      <c r="A282" s="3" t="s">
        <v>511</v>
      </c>
      <c r="B282" s="3">
        <f xml:space="preserve"> bqbb * jgrd</f>
        <v>192</v>
      </c>
      <c r="C282" s="1"/>
    </row>
    <row r="283" spans="1:3" ht="17" x14ac:dyDescent="0.25">
      <c r="A283" s="3" t="s">
        <v>514</v>
      </c>
      <c r="B283" s="3">
        <f xml:space="preserve"> fbcc * zbnw</f>
        <v>133</v>
      </c>
      <c r="C283" s="1"/>
    </row>
    <row r="284" spans="1:3" ht="17" x14ac:dyDescent="0.25">
      <c r="A284" s="3" t="s">
        <v>516</v>
      </c>
      <c r="B284" s="3">
        <f xml:space="preserve"> wfwm + dhsh</f>
        <v>11</v>
      </c>
      <c r="C284" s="1"/>
    </row>
    <row r="285" spans="1:3" ht="17" x14ac:dyDescent="0.25">
      <c r="A285" s="3" t="s">
        <v>519</v>
      </c>
      <c r="B285" s="3">
        <f>2</f>
        <v>2</v>
      </c>
      <c r="C285" s="1"/>
    </row>
    <row r="286" spans="1:3" ht="17" x14ac:dyDescent="0.25">
      <c r="A286" s="3" t="s">
        <v>520</v>
      </c>
      <c r="B286" s="3">
        <f xml:space="preserve"> vtzc - ffbd</f>
        <v>23</v>
      </c>
      <c r="C286" s="1"/>
    </row>
    <row r="287" spans="1:3" ht="17" x14ac:dyDescent="0.25">
      <c r="A287" s="3" t="s">
        <v>523</v>
      </c>
      <c r="B287" s="3">
        <f xml:space="preserve"> qnww * slhm</f>
        <v>62</v>
      </c>
      <c r="C287" s="1"/>
    </row>
    <row r="288" spans="1:3" ht="17" x14ac:dyDescent="0.25">
      <c r="A288" s="3" t="s">
        <v>526</v>
      </c>
      <c r="B288" s="3">
        <f xml:space="preserve"> vnrr * ttrc</f>
        <v>135</v>
      </c>
      <c r="C288" s="1"/>
    </row>
    <row r="289" spans="1:3" ht="17" x14ac:dyDescent="0.25">
      <c r="A289" s="3" t="s">
        <v>113</v>
      </c>
      <c r="B289" s="3">
        <f>5</f>
        <v>5</v>
      </c>
      <c r="C289" s="1"/>
    </row>
    <row r="290" spans="1:3" ht="17" x14ac:dyDescent="0.25">
      <c r="A290" s="3" t="s">
        <v>529</v>
      </c>
      <c r="B290" s="3">
        <f xml:space="preserve"> btbr * hmrb</f>
        <v>26</v>
      </c>
      <c r="C290" s="1"/>
    </row>
    <row r="291" spans="1:3" ht="17" x14ac:dyDescent="0.25">
      <c r="A291" s="3" t="s">
        <v>532</v>
      </c>
      <c r="B291" s="3">
        <f xml:space="preserve"> lbht + bvtd</f>
        <v>11</v>
      </c>
      <c r="C291" s="1"/>
    </row>
    <row r="292" spans="1:3" ht="17" x14ac:dyDescent="0.25">
      <c r="A292" s="3" t="s">
        <v>535</v>
      </c>
      <c r="B292" s="3">
        <f>11</f>
        <v>11</v>
      </c>
      <c r="C292" s="1"/>
    </row>
    <row r="293" spans="1:3" ht="17" x14ac:dyDescent="0.25">
      <c r="A293" s="3" t="s">
        <v>2</v>
      </c>
      <c r="B293" s="3">
        <f>2</f>
        <v>2</v>
      </c>
      <c r="C293" s="1"/>
    </row>
    <row r="294" spans="1:3" ht="17" x14ac:dyDescent="0.25">
      <c r="A294" s="3" t="s">
        <v>536</v>
      </c>
      <c r="B294" s="3">
        <f xml:space="preserve"> cqzm + hlqb</f>
        <v>26</v>
      </c>
      <c r="C294" s="1"/>
    </row>
    <row r="295" spans="1:3" ht="17" x14ac:dyDescent="0.25">
      <c r="A295" s="3" t="s">
        <v>538</v>
      </c>
      <c r="B295" s="3">
        <f>17</f>
        <v>17</v>
      </c>
      <c r="C295" s="1"/>
    </row>
    <row r="296" spans="1:3" ht="17" x14ac:dyDescent="0.25">
      <c r="A296" s="3" t="s">
        <v>539</v>
      </c>
      <c r="B296" s="3">
        <f>5</f>
        <v>5</v>
      </c>
      <c r="C296" s="1"/>
    </row>
    <row r="297" spans="1:3" ht="17" x14ac:dyDescent="0.25">
      <c r="A297" s="3" t="s">
        <v>540</v>
      </c>
      <c r="B297" s="3">
        <f>4</f>
        <v>4</v>
      </c>
      <c r="C297" s="1"/>
    </row>
    <row r="298" spans="1:3" ht="17" x14ac:dyDescent="0.25">
      <c r="A298" s="3" t="s">
        <v>541</v>
      </c>
      <c r="B298" s="3">
        <f xml:space="preserve"> bfqz * bvwp</f>
        <v>42</v>
      </c>
      <c r="C298" s="1"/>
    </row>
    <row r="299" spans="1:3" ht="17" x14ac:dyDescent="0.25">
      <c r="A299" s="3" t="s">
        <v>544</v>
      </c>
      <c r="B299" s="3">
        <f>9</f>
        <v>9</v>
      </c>
      <c r="C299" s="1"/>
    </row>
    <row r="300" spans="1:3" ht="17" x14ac:dyDescent="0.25">
      <c r="A300" s="3" t="s">
        <v>89</v>
      </c>
      <c r="B300" s="3">
        <f xml:space="preserve"> ljlj + htvj</f>
        <v>31</v>
      </c>
      <c r="C300" s="1"/>
    </row>
    <row r="301" spans="1:3" ht="17" x14ac:dyDescent="0.25">
      <c r="A301" s="3" t="s">
        <v>547</v>
      </c>
      <c r="B301" s="3">
        <f>3</f>
        <v>3</v>
      </c>
      <c r="C301" s="1"/>
    </row>
    <row r="302" spans="1:3" ht="17" x14ac:dyDescent="0.25">
      <c r="A302" s="3" t="s">
        <v>548</v>
      </c>
      <c r="B302" s="3">
        <f xml:space="preserve"> tdqn * swzm</f>
        <v>86</v>
      </c>
      <c r="C302" s="1"/>
    </row>
    <row r="303" spans="1:3" ht="17" x14ac:dyDescent="0.25">
      <c r="A303" s="3" t="s">
        <v>549</v>
      </c>
      <c r="B303" s="3">
        <f xml:space="preserve"> fgbg + mtmt</f>
        <v>11</v>
      </c>
      <c r="C303" s="1"/>
    </row>
    <row r="304" spans="1:3" ht="17" x14ac:dyDescent="0.25">
      <c r="A304" s="3" t="s">
        <v>552</v>
      </c>
      <c r="B304" s="3">
        <f>5</f>
        <v>5</v>
      </c>
      <c r="C304" s="1"/>
    </row>
    <row r="305" spans="1:3" ht="17" x14ac:dyDescent="0.25">
      <c r="A305" s="3" t="s">
        <v>553</v>
      </c>
      <c r="B305" s="3">
        <f xml:space="preserve"> ddtt * pdmm</f>
        <v>25</v>
      </c>
      <c r="C305" s="1"/>
    </row>
    <row r="306" spans="1:3" ht="17" x14ac:dyDescent="0.25">
      <c r="A306" s="3" t="s">
        <v>556</v>
      </c>
      <c r="B306" s="3">
        <f xml:space="preserve"> mflt * prsr</f>
        <v>22</v>
      </c>
      <c r="C306" s="1"/>
    </row>
    <row r="307" spans="1:3" ht="17" x14ac:dyDescent="0.25">
      <c r="A307" s="3" t="s">
        <v>308</v>
      </c>
      <c r="B307" s="3">
        <f xml:space="preserve"> gzsv + tvrh</f>
        <v>537</v>
      </c>
      <c r="C307" s="1"/>
    </row>
    <row r="308" spans="1:3" ht="17" x14ac:dyDescent="0.25">
      <c r="A308" s="3" t="s">
        <v>560</v>
      </c>
      <c r="B308" s="3">
        <f>3</f>
        <v>3</v>
      </c>
      <c r="C308" s="1"/>
    </row>
    <row r="309" spans="1:3" ht="17" x14ac:dyDescent="0.25">
      <c r="A309" s="3" t="s">
        <v>561</v>
      </c>
      <c r="B309" s="3">
        <f>2</f>
        <v>2</v>
      </c>
      <c r="C309" s="1"/>
    </row>
    <row r="310" spans="1:3" ht="17" x14ac:dyDescent="0.25">
      <c r="A310" s="3" t="s">
        <v>155</v>
      </c>
      <c r="B310" s="3">
        <f xml:space="preserve"> htbd * fmpg</f>
        <v>16</v>
      </c>
      <c r="C310" s="1"/>
    </row>
    <row r="311" spans="1:3" ht="17" x14ac:dyDescent="0.25">
      <c r="A311" s="3" t="s">
        <v>564</v>
      </c>
      <c r="B311" s="3">
        <f xml:space="preserve"> ljjb + ppzf</f>
        <v>7</v>
      </c>
      <c r="C311" s="1"/>
    </row>
    <row r="312" spans="1:3" ht="17" x14ac:dyDescent="0.25">
      <c r="A312" s="3" t="s">
        <v>567</v>
      </c>
      <c r="B312" s="3">
        <f>5</f>
        <v>5</v>
      </c>
      <c r="C312" s="1"/>
    </row>
    <row r="313" spans="1:3" ht="17" x14ac:dyDescent="0.25">
      <c r="A313" s="3" t="s">
        <v>568</v>
      </c>
      <c r="B313" s="3">
        <f xml:space="preserve"> sqpd * qqjr</f>
        <v>2855</v>
      </c>
      <c r="C313" s="1"/>
    </row>
    <row r="314" spans="1:3" ht="17" x14ac:dyDescent="0.25">
      <c r="A314" s="3" t="s">
        <v>571</v>
      </c>
      <c r="B314" s="3">
        <f xml:space="preserve"> dwnf * jdbd</f>
        <v>81</v>
      </c>
      <c r="C314" s="1"/>
    </row>
    <row r="315" spans="1:3" ht="17" x14ac:dyDescent="0.25">
      <c r="A315" s="3" t="s">
        <v>574</v>
      </c>
      <c r="B315" s="3">
        <f>2</f>
        <v>2</v>
      </c>
      <c r="C315" s="1"/>
    </row>
    <row r="316" spans="1:3" ht="17" x14ac:dyDescent="0.25">
      <c r="A316" s="3" t="s">
        <v>575</v>
      </c>
      <c r="B316" s="3">
        <f xml:space="preserve"> fdvb * zfpr</f>
        <v>16</v>
      </c>
      <c r="C316" s="1"/>
    </row>
    <row r="317" spans="1:3" ht="17" x14ac:dyDescent="0.25">
      <c r="A317" s="3" t="s">
        <v>243</v>
      </c>
      <c r="B317" s="3">
        <f xml:space="preserve"> jrgn + bwts</f>
        <v>167</v>
      </c>
      <c r="C317" s="1"/>
    </row>
    <row r="318" spans="1:3" ht="17" x14ac:dyDescent="0.25">
      <c r="A318" s="3" t="s">
        <v>579</v>
      </c>
      <c r="B318" s="3">
        <f xml:space="preserve"> hfzr * rljp</f>
        <v>40</v>
      </c>
      <c r="C318" s="1"/>
    </row>
    <row r="319" spans="1:3" ht="17" x14ac:dyDescent="0.25">
      <c r="A319" s="3" t="s">
        <v>580</v>
      </c>
      <c r="B319" s="3">
        <f>3</f>
        <v>3</v>
      </c>
      <c r="C319" s="1"/>
    </row>
    <row r="320" spans="1:3" ht="17" x14ac:dyDescent="0.25">
      <c r="A320" s="3" t="s">
        <v>581</v>
      </c>
      <c r="B320" s="3">
        <f>2</f>
        <v>2</v>
      </c>
      <c r="C320" s="1"/>
    </row>
    <row r="321" spans="1:3" ht="17" x14ac:dyDescent="0.25">
      <c r="A321" s="3" t="s">
        <v>582</v>
      </c>
      <c r="B321" s="3">
        <f>3</f>
        <v>3</v>
      </c>
      <c r="C321" s="1"/>
    </row>
    <row r="322" spans="1:3" ht="17" x14ac:dyDescent="0.25">
      <c r="A322" s="3" t="s">
        <v>17</v>
      </c>
      <c r="B322" s="3">
        <f>7</f>
        <v>7</v>
      </c>
      <c r="C322" s="1"/>
    </row>
    <row r="323" spans="1:3" ht="17" x14ac:dyDescent="0.25">
      <c r="A323" s="3" t="s">
        <v>583</v>
      </c>
      <c r="B323" s="3">
        <f xml:space="preserve"> zrvq * stfm</f>
        <v>80</v>
      </c>
      <c r="C323" s="1"/>
    </row>
    <row r="324" spans="1:3" ht="17" x14ac:dyDescent="0.25">
      <c r="A324" s="3" t="s">
        <v>586</v>
      </c>
      <c r="B324" s="3">
        <f xml:space="preserve"> ppvm * bhlr</f>
        <v>34</v>
      </c>
      <c r="C324" s="1"/>
    </row>
    <row r="325" spans="1:3" ht="17" x14ac:dyDescent="0.25">
      <c r="A325" s="3" t="s">
        <v>589</v>
      </c>
      <c r="B325" s="3">
        <f>20</f>
        <v>20</v>
      </c>
      <c r="C325" s="1"/>
    </row>
    <row r="326" spans="1:3" ht="17" x14ac:dyDescent="0.25">
      <c r="A326" s="3" t="s">
        <v>590</v>
      </c>
      <c r="B326" s="3">
        <f>7</f>
        <v>7</v>
      </c>
      <c r="C326" s="1"/>
    </row>
    <row r="327" spans="1:3" ht="17" x14ac:dyDescent="0.25">
      <c r="A327" s="3" t="s">
        <v>591</v>
      </c>
      <c r="B327" s="3">
        <f>2</f>
        <v>2</v>
      </c>
      <c r="C327" s="1"/>
    </row>
    <row r="328" spans="1:3" ht="17" x14ac:dyDescent="0.25">
      <c r="A328" s="3" t="s">
        <v>48</v>
      </c>
      <c r="B328" s="3">
        <f xml:space="preserve"> gmld + pggp</f>
        <v>7</v>
      </c>
      <c r="C328" s="1"/>
    </row>
    <row r="329" spans="1:3" ht="17" x14ac:dyDescent="0.25">
      <c r="A329" s="3" t="s">
        <v>447</v>
      </c>
      <c r="B329" s="3">
        <f>2</f>
        <v>2</v>
      </c>
      <c r="C329" s="1"/>
    </row>
    <row r="330" spans="1:3" ht="17" x14ac:dyDescent="0.25">
      <c r="A330" s="3" t="s">
        <v>594</v>
      </c>
      <c r="B330" s="3">
        <f xml:space="preserve"> rhnv * nqhd</f>
        <v>116</v>
      </c>
      <c r="C330" s="1"/>
    </row>
    <row r="331" spans="1:3" ht="17" x14ac:dyDescent="0.25">
      <c r="A331" s="3" t="s">
        <v>597</v>
      </c>
      <c r="B331" s="3">
        <f>1</f>
        <v>1</v>
      </c>
      <c r="C331" s="1"/>
    </row>
    <row r="332" spans="1:3" ht="17" x14ac:dyDescent="0.25">
      <c r="A332" s="3" t="s">
        <v>598</v>
      </c>
      <c r="B332" s="3">
        <f xml:space="preserve"> rvbn * ppld</f>
        <v>82</v>
      </c>
      <c r="C332" s="1"/>
    </row>
    <row r="333" spans="1:3" ht="17" x14ac:dyDescent="0.25">
      <c r="A333" s="3" t="s">
        <v>601</v>
      </c>
      <c r="B333" s="3">
        <f>3</f>
        <v>3</v>
      </c>
      <c r="C333" s="1"/>
    </row>
    <row r="334" spans="1:3" ht="17" x14ac:dyDescent="0.25">
      <c r="A334" s="3" t="s">
        <v>602</v>
      </c>
      <c r="B334" s="3">
        <f xml:space="preserve"> qwwl - jzth</f>
        <v>29</v>
      </c>
      <c r="C334" s="1"/>
    </row>
    <row r="335" spans="1:3" ht="17" x14ac:dyDescent="0.25">
      <c r="A335" s="3" t="s">
        <v>605</v>
      </c>
      <c r="B335" s="3">
        <f xml:space="preserve"> mstr * mslc</f>
        <v>164</v>
      </c>
      <c r="C335" s="1"/>
    </row>
    <row r="336" spans="1:3" ht="17" x14ac:dyDescent="0.25">
      <c r="A336" s="3" t="s">
        <v>608</v>
      </c>
      <c r="B336" s="3">
        <f xml:space="preserve"> twnp * hgwg</f>
        <v>614</v>
      </c>
      <c r="C336" s="1"/>
    </row>
    <row r="337" spans="1:3" ht="17" x14ac:dyDescent="0.25">
      <c r="A337" s="3" t="s">
        <v>610</v>
      </c>
      <c r="B337" s="3">
        <f>13</f>
        <v>13</v>
      </c>
      <c r="C337" s="1"/>
    </row>
    <row r="338" spans="1:3" ht="17" x14ac:dyDescent="0.25">
      <c r="A338" s="3" t="s">
        <v>611</v>
      </c>
      <c r="B338" s="3">
        <f xml:space="preserve"> cnfh * cdnl</f>
        <v>1779</v>
      </c>
      <c r="C338" s="1"/>
    </row>
    <row r="339" spans="1:3" ht="17" x14ac:dyDescent="0.25">
      <c r="A339" s="3" t="s">
        <v>614</v>
      </c>
      <c r="B339" s="3">
        <f>5</f>
        <v>5</v>
      </c>
      <c r="C339" s="1"/>
    </row>
    <row r="340" spans="1:3" ht="17" x14ac:dyDescent="0.25">
      <c r="A340" s="3" t="s">
        <v>615</v>
      </c>
      <c r="B340" s="3">
        <f>6</f>
        <v>6</v>
      </c>
      <c r="C340" s="1"/>
    </row>
    <row r="341" spans="1:3" ht="17" x14ac:dyDescent="0.25">
      <c r="A341" s="3" t="s">
        <v>616</v>
      </c>
      <c r="B341" s="3">
        <f xml:space="preserve"> nsmv + jnqw</f>
        <v>515</v>
      </c>
      <c r="C341" s="1"/>
    </row>
    <row r="342" spans="1:3" ht="17" x14ac:dyDescent="0.25">
      <c r="A342" s="3" t="s">
        <v>619</v>
      </c>
      <c r="B342" s="3">
        <f>5</f>
        <v>5</v>
      </c>
      <c r="C342" s="1"/>
    </row>
    <row r="343" spans="1:3" ht="17" x14ac:dyDescent="0.25">
      <c r="A343" s="3" t="s">
        <v>620</v>
      </c>
      <c r="B343" s="3">
        <f>3</f>
        <v>3</v>
      </c>
      <c r="C343" s="1"/>
    </row>
    <row r="344" spans="1:3" ht="17" x14ac:dyDescent="0.25">
      <c r="A344" s="3" t="s">
        <v>621</v>
      </c>
      <c r="B344" s="3">
        <f xml:space="preserve"> dccl + fmnd</f>
        <v>23</v>
      </c>
      <c r="C344" s="1"/>
    </row>
    <row r="345" spans="1:3" ht="17" x14ac:dyDescent="0.25">
      <c r="A345" s="3" t="s">
        <v>624</v>
      </c>
      <c r="B345" s="3">
        <f>8</f>
        <v>8</v>
      </c>
      <c r="C345" s="1"/>
    </row>
    <row r="346" spans="1:3" ht="17" x14ac:dyDescent="0.25">
      <c r="A346" s="3" t="s">
        <v>625</v>
      </c>
      <c r="B346" s="3">
        <f xml:space="preserve"> lnwm * jqdc</f>
        <v>7972466</v>
      </c>
      <c r="C346" s="1"/>
    </row>
    <row r="347" spans="1:3" ht="17" x14ac:dyDescent="0.25">
      <c r="A347" s="3" t="s">
        <v>628</v>
      </c>
      <c r="B347" s="3">
        <f xml:space="preserve"> tlnz - nqvl</f>
        <v>102260302001613</v>
      </c>
      <c r="C347" s="1"/>
    </row>
    <row r="348" spans="1:3" ht="17" x14ac:dyDescent="0.25">
      <c r="A348" s="3" t="s">
        <v>631</v>
      </c>
      <c r="B348" s="3">
        <f>3</f>
        <v>3</v>
      </c>
      <c r="C348" s="1"/>
    </row>
    <row r="349" spans="1:3" ht="17" x14ac:dyDescent="0.25">
      <c r="A349" s="3" t="s">
        <v>632</v>
      </c>
      <c r="B349" s="3">
        <f>20</f>
        <v>20</v>
      </c>
      <c r="C349" s="1"/>
    </row>
    <row r="350" spans="1:3" ht="17" x14ac:dyDescent="0.25">
      <c r="A350" s="3" t="s">
        <v>633</v>
      </c>
      <c r="B350" s="3">
        <f xml:space="preserve"> mdcf * ldch</f>
        <v>14</v>
      </c>
      <c r="C350" s="1"/>
    </row>
    <row r="351" spans="1:3" ht="17" x14ac:dyDescent="0.25">
      <c r="A351" s="3" t="s">
        <v>636</v>
      </c>
      <c r="B351" s="3">
        <f>2</f>
        <v>2</v>
      </c>
      <c r="C351" s="1"/>
    </row>
    <row r="352" spans="1:3" ht="17" x14ac:dyDescent="0.25">
      <c r="A352" s="3" t="s">
        <v>637</v>
      </c>
      <c r="B352" s="3">
        <f xml:space="preserve"> gjzt * rzfd</f>
        <v>16</v>
      </c>
      <c r="C352" s="1"/>
    </row>
    <row r="353" spans="1:3" ht="17" x14ac:dyDescent="0.25">
      <c r="A353" s="3" t="s">
        <v>639</v>
      </c>
      <c r="B353" s="3">
        <f>14</f>
        <v>14</v>
      </c>
      <c r="C353" s="1"/>
    </row>
    <row r="354" spans="1:3" ht="17" x14ac:dyDescent="0.25">
      <c r="A354" s="3" t="s">
        <v>640</v>
      </c>
      <c r="B354" s="3">
        <f>11</f>
        <v>11</v>
      </c>
      <c r="C354" s="1"/>
    </row>
    <row r="355" spans="1:3" ht="17" x14ac:dyDescent="0.25">
      <c r="A355" s="3" t="s">
        <v>641</v>
      </c>
      <c r="B355" s="3">
        <f>3</f>
        <v>3</v>
      </c>
      <c r="C355" s="1"/>
    </row>
    <row r="356" spans="1:3" ht="17" x14ac:dyDescent="0.25">
      <c r="A356" s="3" t="s">
        <v>642</v>
      </c>
      <c r="B356" s="3">
        <f>4</f>
        <v>4</v>
      </c>
      <c r="C356" s="1"/>
    </row>
    <row r="357" spans="1:3" ht="17" x14ac:dyDescent="0.25">
      <c r="A357" s="3" t="s">
        <v>643</v>
      </c>
      <c r="B357" s="3">
        <f xml:space="preserve"> svvl + cwdv</f>
        <v>23</v>
      </c>
      <c r="C357" s="1"/>
    </row>
    <row r="358" spans="1:3" ht="17" x14ac:dyDescent="0.25">
      <c r="A358" s="3" t="s">
        <v>646</v>
      </c>
      <c r="B358" s="3">
        <f>5</f>
        <v>5</v>
      </c>
      <c r="C358" s="1"/>
    </row>
    <row r="359" spans="1:3" ht="17" x14ac:dyDescent="0.25">
      <c r="A359" s="3" t="s">
        <v>647</v>
      </c>
      <c r="B359" s="3">
        <f>5</f>
        <v>5</v>
      </c>
      <c r="C359" s="1"/>
    </row>
    <row r="360" spans="1:3" ht="17" x14ac:dyDescent="0.25">
      <c r="A360" s="3" t="s">
        <v>648</v>
      </c>
      <c r="B360" s="3">
        <f xml:space="preserve"> zvdj * tgcc</f>
        <v>62</v>
      </c>
      <c r="C360" s="1"/>
    </row>
    <row r="361" spans="1:3" ht="17" x14ac:dyDescent="0.25">
      <c r="A361" s="3" t="s">
        <v>651</v>
      </c>
      <c r="B361" s="3">
        <f xml:space="preserve"> nrcs + jwcv</f>
        <v>1394</v>
      </c>
      <c r="C361" s="1"/>
    </row>
    <row r="362" spans="1:3" ht="17" x14ac:dyDescent="0.25">
      <c r="A362" s="3" t="s">
        <v>654</v>
      </c>
      <c r="B362" s="3">
        <f xml:space="preserve"> cvld + wdjq</f>
        <v>13</v>
      </c>
      <c r="C362" s="1"/>
    </row>
    <row r="363" spans="1:3" ht="17" x14ac:dyDescent="0.25">
      <c r="A363" s="3" t="s">
        <v>486</v>
      </c>
      <c r="B363" s="3">
        <f xml:space="preserve"> lcst * zrmr</f>
        <v>6</v>
      </c>
      <c r="C363" s="1"/>
    </row>
    <row r="364" spans="1:3" ht="17" x14ac:dyDescent="0.25">
      <c r="A364" s="3" t="s">
        <v>659</v>
      </c>
      <c r="B364" s="3">
        <f>7</f>
        <v>7</v>
      </c>
      <c r="C364" s="1"/>
    </row>
    <row r="365" spans="1:3" ht="17" x14ac:dyDescent="0.25">
      <c r="A365" s="3" t="s">
        <v>660</v>
      </c>
      <c r="B365" s="3">
        <f xml:space="preserve"> gqvv * dfnh</f>
        <v>105</v>
      </c>
      <c r="C365" s="1"/>
    </row>
    <row r="366" spans="1:3" ht="17" x14ac:dyDescent="0.25">
      <c r="A366" s="3" t="s">
        <v>663</v>
      </c>
      <c r="B366" s="3">
        <f>5</f>
        <v>5</v>
      </c>
      <c r="C366" s="1"/>
    </row>
    <row r="367" spans="1:3" ht="17" x14ac:dyDescent="0.25">
      <c r="A367" s="3" t="s">
        <v>664</v>
      </c>
      <c r="B367" s="3">
        <f>9</f>
        <v>9</v>
      </c>
      <c r="C367" s="1"/>
    </row>
    <row r="368" spans="1:3" ht="17" x14ac:dyDescent="0.25">
      <c r="A368" s="3" t="s">
        <v>665</v>
      </c>
      <c r="B368" s="3">
        <f xml:space="preserve"> cdmb * cswj</f>
        <v>14</v>
      </c>
      <c r="C368" s="1"/>
    </row>
    <row r="369" spans="1:3" ht="17" x14ac:dyDescent="0.25">
      <c r="A369" s="3" t="s">
        <v>668</v>
      </c>
      <c r="B369" s="3">
        <f>3</f>
        <v>3</v>
      </c>
      <c r="C369" s="1"/>
    </row>
    <row r="370" spans="1:3" ht="17" x14ac:dyDescent="0.25">
      <c r="A370" s="3" t="s">
        <v>669</v>
      </c>
      <c r="B370" s="3">
        <f xml:space="preserve"> zqwp + qwjp</f>
        <v>8</v>
      </c>
      <c r="C370" s="1"/>
    </row>
    <row r="371" spans="1:3" ht="17" x14ac:dyDescent="0.25">
      <c r="A371" s="3" t="s">
        <v>672</v>
      </c>
      <c r="B371" s="3">
        <f>4</f>
        <v>4</v>
      </c>
      <c r="C371" s="1"/>
    </row>
    <row r="372" spans="1:3" ht="17" x14ac:dyDescent="0.25">
      <c r="A372" s="3" t="s">
        <v>416</v>
      </c>
      <c r="B372" s="3">
        <f>5</f>
        <v>5</v>
      </c>
      <c r="C372" s="1"/>
    </row>
    <row r="373" spans="1:3" ht="17" x14ac:dyDescent="0.25">
      <c r="A373" s="3" t="s">
        <v>673</v>
      </c>
      <c r="B373" s="3">
        <f>6</f>
        <v>6</v>
      </c>
      <c r="C373" s="1"/>
    </row>
    <row r="374" spans="1:3" ht="17" x14ac:dyDescent="0.25">
      <c r="A374" s="3" t="s">
        <v>674</v>
      </c>
      <c r="B374" s="3">
        <f>2</f>
        <v>2</v>
      </c>
      <c r="C374" s="1"/>
    </row>
    <row r="375" spans="1:3" ht="17" x14ac:dyDescent="0.25">
      <c r="A375" s="3" t="s">
        <v>675</v>
      </c>
      <c r="B375" s="3">
        <f xml:space="preserve"> bclh + tncl</f>
        <v>13</v>
      </c>
      <c r="C375" s="1"/>
    </row>
    <row r="376" spans="1:3" ht="17" x14ac:dyDescent="0.25">
      <c r="A376" s="3" t="s">
        <v>678</v>
      </c>
      <c r="B376" s="3">
        <f xml:space="preserve"> tbrs * ssvr</f>
        <v>51</v>
      </c>
      <c r="C376" s="1"/>
    </row>
    <row r="377" spans="1:3" ht="17" x14ac:dyDescent="0.25">
      <c r="A377" s="3" t="s">
        <v>681</v>
      </c>
      <c r="B377" s="3">
        <f>6</f>
        <v>6</v>
      </c>
      <c r="C377" s="1"/>
    </row>
    <row r="378" spans="1:3" ht="17" x14ac:dyDescent="0.25">
      <c r="A378" s="3" t="s">
        <v>682</v>
      </c>
      <c r="B378" s="3">
        <f xml:space="preserve"> cmgl * mdqs</f>
        <v>94</v>
      </c>
      <c r="C378" s="1"/>
    </row>
    <row r="379" spans="1:3" ht="17" x14ac:dyDescent="0.25">
      <c r="A379" s="3" t="s">
        <v>685</v>
      </c>
      <c r="B379" s="3">
        <f>7</f>
        <v>7</v>
      </c>
      <c r="C379" s="1"/>
    </row>
    <row r="380" spans="1:3" ht="17" x14ac:dyDescent="0.25">
      <c r="A380" s="3" t="s">
        <v>623</v>
      </c>
      <c r="B380" s="3">
        <f xml:space="preserve"> hnhs + cbpw</f>
        <v>11</v>
      </c>
      <c r="C380" s="1"/>
    </row>
    <row r="381" spans="1:3" ht="17" x14ac:dyDescent="0.25">
      <c r="A381" s="3" t="s">
        <v>688</v>
      </c>
      <c r="B381" s="3">
        <f>5</f>
        <v>5</v>
      </c>
      <c r="C381" s="1"/>
    </row>
    <row r="382" spans="1:3" ht="17" x14ac:dyDescent="0.25">
      <c r="A382" s="3" t="s">
        <v>689</v>
      </c>
      <c r="B382" s="3">
        <f>5</f>
        <v>5</v>
      </c>
      <c r="C382" s="1"/>
    </row>
    <row r="383" spans="1:3" ht="17" x14ac:dyDescent="0.25">
      <c r="A383" s="3" t="s">
        <v>395</v>
      </c>
      <c r="B383" s="3">
        <f>2</f>
        <v>2</v>
      </c>
      <c r="C383" s="1"/>
    </row>
    <row r="384" spans="1:3" ht="17" x14ac:dyDescent="0.25">
      <c r="A384" s="3" t="s">
        <v>690</v>
      </c>
      <c r="B384" s="3">
        <f>5</f>
        <v>5</v>
      </c>
      <c r="C384" s="1"/>
    </row>
    <row r="385" spans="1:3" ht="17" x14ac:dyDescent="0.25">
      <c r="A385" s="3" t="s">
        <v>691</v>
      </c>
      <c r="B385" s="3">
        <f xml:space="preserve"> dpmq + mqzv</f>
        <v>7</v>
      </c>
      <c r="C385" s="1"/>
    </row>
    <row r="386" spans="1:3" ht="17" x14ac:dyDescent="0.25">
      <c r="A386" s="3" t="s">
        <v>694</v>
      </c>
      <c r="B386" s="3">
        <f>2</f>
        <v>2</v>
      </c>
      <c r="C386" s="1"/>
    </row>
    <row r="387" spans="1:3" ht="17" x14ac:dyDescent="0.25">
      <c r="A387" s="3" t="s">
        <v>695</v>
      </c>
      <c r="B387" s="3">
        <f xml:space="preserve"> wnfd - stvc</f>
        <v>331</v>
      </c>
      <c r="C387" s="1"/>
    </row>
    <row r="388" spans="1:3" ht="17" x14ac:dyDescent="0.25">
      <c r="A388" s="3" t="s">
        <v>698</v>
      </c>
      <c r="B388" s="3">
        <f xml:space="preserve"> fzzt - vznw</f>
        <v>656</v>
      </c>
      <c r="C388" s="1"/>
    </row>
    <row r="389" spans="1:3" ht="17" x14ac:dyDescent="0.25">
      <c r="A389" s="3" t="s">
        <v>699</v>
      </c>
      <c r="B389" s="3">
        <f xml:space="preserve"> hdpr * swpr</f>
        <v>621</v>
      </c>
      <c r="C389" s="1"/>
    </row>
    <row r="390" spans="1:3" ht="17" x14ac:dyDescent="0.25">
      <c r="A390" s="3" t="s">
        <v>702</v>
      </c>
      <c r="B390" s="3">
        <f>2</f>
        <v>2</v>
      </c>
      <c r="C390" s="1"/>
    </row>
    <row r="391" spans="1:3" ht="17" x14ac:dyDescent="0.25">
      <c r="A391" s="3" t="s">
        <v>703</v>
      </c>
      <c r="B391" s="3">
        <f>11</f>
        <v>11</v>
      </c>
      <c r="C391" s="1"/>
    </row>
    <row r="392" spans="1:3" ht="17" x14ac:dyDescent="0.25">
      <c r="A392" s="3" t="s">
        <v>704</v>
      </c>
      <c r="B392" s="3">
        <f xml:space="preserve"> bjrl + mrmz</f>
        <v>11</v>
      </c>
      <c r="C392" s="1"/>
    </row>
    <row r="393" spans="1:3" ht="17" x14ac:dyDescent="0.25">
      <c r="A393" s="3" t="s">
        <v>706</v>
      </c>
      <c r="B393" s="3">
        <f xml:space="preserve"> nmgl * cdvg</f>
        <v>10</v>
      </c>
      <c r="C393" s="1"/>
    </row>
    <row r="394" spans="1:3" ht="17" x14ac:dyDescent="0.25">
      <c r="A394" s="3" t="s">
        <v>708</v>
      </c>
      <c r="B394" s="3">
        <f xml:space="preserve"> chmf * tmgq</f>
        <v>9</v>
      </c>
      <c r="C394" s="1"/>
    </row>
    <row r="395" spans="1:3" ht="17" x14ac:dyDescent="0.25">
      <c r="A395" s="3" t="s">
        <v>711</v>
      </c>
      <c r="B395" s="3">
        <f xml:space="preserve"> dlrc + szgd</f>
        <v>45</v>
      </c>
      <c r="C395" s="1"/>
    </row>
    <row r="396" spans="1:3" ht="17" x14ac:dyDescent="0.25">
      <c r="A396" s="3" t="s">
        <v>714</v>
      </c>
      <c r="B396" s="3">
        <f xml:space="preserve"> wcbw + sjcb</f>
        <v>5681127888869</v>
      </c>
      <c r="C396" s="1"/>
    </row>
    <row r="397" spans="1:3" ht="17" x14ac:dyDescent="0.25">
      <c r="A397" s="3" t="s">
        <v>717</v>
      </c>
      <c r="B397" s="3">
        <f xml:space="preserve"> jlpb * prqv</f>
        <v>117</v>
      </c>
      <c r="C397" s="1"/>
    </row>
    <row r="398" spans="1:3" ht="17" x14ac:dyDescent="0.25">
      <c r="A398" s="3" t="s">
        <v>720</v>
      </c>
      <c r="B398" s="3">
        <f xml:space="preserve"> nqvv * dmnv</f>
        <v>119303685666249</v>
      </c>
      <c r="C398" s="1"/>
    </row>
    <row r="399" spans="1:3" ht="17" x14ac:dyDescent="0.25">
      <c r="A399" s="3" t="s">
        <v>722</v>
      </c>
      <c r="B399" s="3">
        <f xml:space="preserve"> mqbd * wlpf</f>
        <v>88126376</v>
      </c>
      <c r="C399" s="1"/>
    </row>
    <row r="400" spans="1:3" ht="17" x14ac:dyDescent="0.25">
      <c r="A400" s="3" t="s">
        <v>725</v>
      </c>
      <c r="B400" s="3">
        <f xml:space="preserve"> pjlg + twpb</f>
        <v>17043383669199</v>
      </c>
      <c r="C400" s="1"/>
    </row>
    <row r="401" spans="1:3" ht="17" x14ac:dyDescent="0.25">
      <c r="A401" s="3" t="s">
        <v>551</v>
      </c>
      <c r="B401" s="3">
        <f>3</f>
        <v>3</v>
      </c>
      <c r="C401" s="1"/>
    </row>
    <row r="402" spans="1:3" ht="17" x14ac:dyDescent="0.25">
      <c r="A402" s="3" t="s">
        <v>311</v>
      </c>
      <c r="B402" s="3">
        <f>14</f>
        <v>14</v>
      </c>
      <c r="C402" s="1"/>
    </row>
    <row r="403" spans="1:3" ht="17" x14ac:dyDescent="0.25">
      <c r="A403" s="3" t="s">
        <v>728</v>
      </c>
      <c r="B403" s="3">
        <f xml:space="preserve"> wttp * ssqc</f>
        <v>6</v>
      </c>
      <c r="C403" s="1"/>
    </row>
    <row r="404" spans="1:3" ht="17" x14ac:dyDescent="0.25">
      <c r="A404" s="3" t="s">
        <v>731</v>
      </c>
      <c r="B404" s="3">
        <f xml:space="preserve"> tbqg + rswm</f>
        <v>56</v>
      </c>
      <c r="C404" s="1"/>
    </row>
    <row r="405" spans="1:3" ht="17" x14ac:dyDescent="0.25">
      <c r="A405" s="3" t="s">
        <v>734</v>
      </c>
      <c r="B405" s="3">
        <f>2</f>
        <v>2</v>
      </c>
      <c r="C405" s="1"/>
    </row>
    <row r="406" spans="1:3" ht="17" x14ac:dyDescent="0.25">
      <c r="A406" s="3" t="s">
        <v>735</v>
      </c>
      <c r="B406" s="3">
        <f>14</f>
        <v>14</v>
      </c>
      <c r="C406" s="1"/>
    </row>
    <row r="407" spans="1:3" ht="17" x14ac:dyDescent="0.25">
      <c r="A407" s="3" t="s">
        <v>404</v>
      </c>
      <c r="B407" s="3">
        <f>1</f>
        <v>1</v>
      </c>
      <c r="C407" s="1"/>
    </row>
    <row r="408" spans="1:3" ht="17" x14ac:dyDescent="0.25">
      <c r="A408" s="3" t="s">
        <v>736</v>
      </c>
      <c r="B408" s="3">
        <f>4</f>
        <v>4</v>
      </c>
      <c r="C408" s="1"/>
    </row>
    <row r="409" spans="1:3" ht="17" x14ac:dyDescent="0.25">
      <c r="A409" s="3" t="s">
        <v>737</v>
      </c>
      <c r="B409" s="3">
        <f>19</f>
        <v>19</v>
      </c>
      <c r="C409" s="1"/>
    </row>
    <row r="410" spans="1:3" ht="17" x14ac:dyDescent="0.25">
      <c r="A410" s="3" t="s">
        <v>738</v>
      </c>
      <c r="B410" s="3">
        <f>2</f>
        <v>2</v>
      </c>
      <c r="C410" s="1"/>
    </row>
    <row r="411" spans="1:3" ht="17" x14ac:dyDescent="0.25">
      <c r="A411" s="3" t="s">
        <v>47</v>
      </c>
      <c r="B411" s="3">
        <f>2</f>
        <v>2</v>
      </c>
      <c r="C411" s="1"/>
    </row>
    <row r="412" spans="1:3" ht="17" x14ac:dyDescent="0.25">
      <c r="A412" s="3" t="s">
        <v>739</v>
      </c>
      <c r="B412" s="3">
        <f xml:space="preserve"> nqbp * vlft</f>
        <v>27</v>
      </c>
      <c r="C412" s="1"/>
    </row>
    <row r="413" spans="1:3" ht="17" x14ac:dyDescent="0.25">
      <c r="A413" s="3" t="s">
        <v>742</v>
      </c>
      <c r="B413" s="3">
        <f xml:space="preserve"> lhwn + wvtm</f>
        <v>7</v>
      </c>
      <c r="C413" s="1"/>
    </row>
    <row r="414" spans="1:3" ht="17" x14ac:dyDescent="0.25">
      <c r="A414" s="3" t="s">
        <v>745</v>
      </c>
      <c r="B414" s="3">
        <f xml:space="preserve"> wzbm * zlcn</f>
        <v>293524</v>
      </c>
      <c r="C414" s="1"/>
    </row>
    <row r="415" spans="1:3" ht="17" x14ac:dyDescent="0.25">
      <c r="A415" s="3" t="s">
        <v>747</v>
      </c>
      <c r="B415" s="3">
        <f>2</f>
        <v>2</v>
      </c>
      <c r="C415" s="1"/>
    </row>
    <row r="416" spans="1:3" ht="17" x14ac:dyDescent="0.25">
      <c r="A416" s="3" t="s">
        <v>748</v>
      </c>
      <c r="B416" s="3">
        <f>7</f>
        <v>7</v>
      </c>
      <c r="C416" s="1"/>
    </row>
    <row r="417" spans="1:3" ht="17" x14ac:dyDescent="0.25">
      <c r="A417" s="3" t="s">
        <v>391</v>
      </c>
      <c r="B417" s="3">
        <f xml:space="preserve"> fcsr * jfrp</f>
        <v>26</v>
      </c>
      <c r="C417" s="1"/>
    </row>
    <row r="418" spans="1:3" ht="17" x14ac:dyDescent="0.25">
      <c r="A418" s="3" t="s">
        <v>751</v>
      </c>
      <c r="B418" s="3">
        <f xml:space="preserve"> dfjl + zppz</f>
        <v>29</v>
      </c>
      <c r="C418" s="1"/>
    </row>
    <row r="419" spans="1:3" ht="17" x14ac:dyDescent="0.25">
      <c r="A419" s="3" t="s">
        <v>753</v>
      </c>
      <c r="B419" s="3">
        <f xml:space="preserve"> ttzn + swcp</f>
        <v>13</v>
      </c>
      <c r="C419" s="1"/>
    </row>
    <row r="420" spans="1:3" ht="17" x14ac:dyDescent="0.25">
      <c r="A420" s="3" t="s">
        <v>755</v>
      </c>
      <c r="B420" s="3">
        <f xml:space="preserve"> qsjh * llzj</f>
        <v>306</v>
      </c>
      <c r="C420" s="1"/>
    </row>
    <row r="421" spans="1:3" ht="17" x14ac:dyDescent="0.25">
      <c r="A421" s="3" t="s">
        <v>758</v>
      </c>
      <c r="B421" s="3">
        <f xml:space="preserve"> jqnh - qsjc</f>
        <v>17</v>
      </c>
      <c r="C421" s="1"/>
    </row>
    <row r="422" spans="1:3" ht="17" x14ac:dyDescent="0.25">
      <c r="A422" s="3" t="s">
        <v>761</v>
      </c>
      <c r="B422" s="3">
        <f>2</f>
        <v>2</v>
      </c>
      <c r="C422" s="1"/>
    </row>
    <row r="423" spans="1:3" ht="17" x14ac:dyDescent="0.25">
      <c r="A423" s="3" t="s">
        <v>762</v>
      </c>
      <c r="B423" s="3">
        <f>7</f>
        <v>7</v>
      </c>
      <c r="C423" s="1"/>
    </row>
    <row r="424" spans="1:3" ht="17" x14ac:dyDescent="0.25">
      <c r="A424" s="3" t="s">
        <v>763</v>
      </c>
      <c r="B424" s="3">
        <f>3</f>
        <v>3</v>
      </c>
      <c r="C424" s="1"/>
    </row>
    <row r="425" spans="1:3" ht="17" x14ac:dyDescent="0.25">
      <c r="A425" s="3" t="s">
        <v>764</v>
      </c>
      <c r="B425" s="3">
        <f>5</f>
        <v>5</v>
      </c>
      <c r="C425" s="1"/>
    </row>
    <row r="426" spans="1:3" ht="17" x14ac:dyDescent="0.25">
      <c r="A426" s="3" t="s">
        <v>524</v>
      </c>
      <c r="B426" s="3">
        <f xml:space="preserve"> hfss + rhcs</f>
        <v>31</v>
      </c>
      <c r="C426" s="1"/>
    </row>
    <row r="427" spans="1:3" ht="17" x14ac:dyDescent="0.25">
      <c r="A427" s="3" t="s">
        <v>766</v>
      </c>
      <c r="B427" s="3">
        <f xml:space="preserve"> fhbb - brvb</f>
        <v>17</v>
      </c>
      <c r="C427" s="1"/>
    </row>
    <row r="428" spans="1:3" ht="17" x14ac:dyDescent="0.25">
      <c r="A428" s="3" t="s">
        <v>146</v>
      </c>
      <c r="B428" s="3">
        <f>5</f>
        <v>5</v>
      </c>
      <c r="C428" s="1"/>
    </row>
    <row r="429" spans="1:3" ht="17" x14ac:dyDescent="0.25">
      <c r="A429" s="3" t="s">
        <v>769</v>
      </c>
      <c r="B429" s="3">
        <f>2</f>
        <v>2</v>
      </c>
      <c r="C429" s="1"/>
    </row>
    <row r="430" spans="1:3" ht="17" x14ac:dyDescent="0.25">
      <c r="A430" s="3" t="s">
        <v>770</v>
      </c>
      <c r="B430" s="3">
        <f xml:space="preserve"> ptff + trrt</f>
        <v>82</v>
      </c>
      <c r="C430" s="1"/>
    </row>
    <row r="431" spans="1:3" ht="17" x14ac:dyDescent="0.25">
      <c r="A431" s="3" t="s">
        <v>773</v>
      </c>
      <c r="B431" s="3">
        <f>3</f>
        <v>3</v>
      </c>
      <c r="C431" s="1"/>
    </row>
    <row r="432" spans="1:3" ht="17" x14ac:dyDescent="0.25">
      <c r="A432" s="3" t="s">
        <v>774</v>
      </c>
      <c r="B432" s="3">
        <f xml:space="preserve"> qbrz * vtmm</f>
        <v>386</v>
      </c>
      <c r="C432" s="1"/>
    </row>
    <row r="433" spans="1:3" ht="17" x14ac:dyDescent="0.25">
      <c r="A433" s="3" t="s">
        <v>189</v>
      </c>
      <c r="B433" s="3">
        <f xml:space="preserve"> pwsg - lzfd</f>
        <v>12</v>
      </c>
      <c r="C433" s="1"/>
    </row>
    <row r="434" spans="1:3" ht="17" x14ac:dyDescent="0.25">
      <c r="A434" s="3" t="s">
        <v>778</v>
      </c>
      <c r="B434" s="3">
        <f xml:space="preserve"> vmhp + pdbl</f>
        <v>102260302008505</v>
      </c>
      <c r="C434" s="1"/>
    </row>
    <row r="435" spans="1:3" ht="17" x14ac:dyDescent="0.25">
      <c r="A435" s="3" t="s">
        <v>781</v>
      </c>
      <c r="B435" s="3">
        <f>11</f>
        <v>11</v>
      </c>
      <c r="C435" s="1"/>
    </row>
    <row r="436" spans="1:3" ht="17" x14ac:dyDescent="0.25">
      <c r="A436" s="3" t="s">
        <v>657</v>
      </c>
      <c r="B436" s="3">
        <f>2</f>
        <v>2</v>
      </c>
      <c r="C436" s="1"/>
    </row>
    <row r="437" spans="1:3" ht="17" x14ac:dyDescent="0.25">
      <c r="A437" s="3" t="s">
        <v>782</v>
      </c>
      <c r="B437" s="3">
        <f xml:space="preserve"> fwhh * tdlv</f>
        <v>217</v>
      </c>
      <c r="C437" s="1"/>
    </row>
    <row r="438" spans="1:3" ht="17" x14ac:dyDescent="0.25">
      <c r="A438" s="3" t="s">
        <v>784</v>
      </c>
      <c r="B438" s="3">
        <f xml:space="preserve"> zhtq + rjwv</f>
        <v>39</v>
      </c>
      <c r="C438" s="1"/>
    </row>
    <row r="439" spans="1:3" ht="17" x14ac:dyDescent="0.25">
      <c r="A439" s="3" t="s">
        <v>787</v>
      </c>
      <c r="B439" s="3">
        <f>4</f>
        <v>4</v>
      </c>
      <c r="C439" s="1"/>
    </row>
    <row r="440" spans="1:3" ht="17" x14ac:dyDescent="0.25">
      <c r="A440" s="3" t="s">
        <v>788</v>
      </c>
      <c r="B440" s="3">
        <f xml:space="preserve"> bjln + ftbp</f>
        <v>394063</v>
      </c>
      <c r="C440" s="1"/>
    </row>
    <row r="441" spans="1:3" ht="17" x14ac:dyDescent="0.25">
      <c r="A441" s="3" t="s">
        <v>791</v>
      </c>
      <c r="B441" s="3">
        <f xml:space="preserve"> ptgb - bhfc</f>
        <v>27</v>
      </c>
      <c r="C441" s="1"/>
    </row>
    <row r="442" spans="1:3" ht="17" x14ac:dyDescent="0.25">
      <c r="A442" s="3" t="s">
        <v>793</v>
      </c>
      <c r="B442" s="3">
        <f>1</f>
        <v>1</v>
      </c>
      <c r="C442" s="1"/>
    </row>
    <row r="443" spans="1:3" ht="17" x14ac:dyDescent="0.25">
      <c r="A443" s="3" t="s">
        <v>794</v>
      </c>
      <c r="B443" s="3">
        <f xml:space="preserve"> djqn - hfcl</f>
        <v>31220607368818</v>
      </c>
      <c r="C443" s="1"/>
    </row>
    <row r="444" spans="1:3" ht="17" x14ac:dyDescent="0.25">
      <c r="A444" s="3" t="s">
        <v>797</v>
      </c>
      <c r="B444" s="3">
        <f>2</f>
        <v>2</v>
      </c>
      <c r="C444" s="1"/>
    </row>
    <row r="445" spans="1:3" ht="17" x14ac:dyDescent="0.25">
      <c r="A445" s="3" t="s">
        <v>798</v>
      </c>
      <c r="B445" s="3">
        <f>2</f>
        <v>2</v>
      </c>
      <c r="C445" s="1"/>
    </row>
    <row r="446" spans="1:3" ht="17" x14ac:dyDescent="0.25">
      <c r="A446" s="3" t="s">
        <v>799</v>
      </c>
      <c r="B446" s="3">
        <f>3</f>
        <v>3</v>
      </c>
      <c r="C446" s="1"/>
    </row>
    <row r="447" spans="1:3" ht="17" x14ac:dyDescent="0.25">
      <c r="A447" s="3" t="s">
        <v>800</v>
      </c>
      <c r="B447" s="3">
        <f>3</f>
        <v>3</v>
      </c>
      <c r="C447" s="1"/>
    </row>
    <row r="448" spans="1:3" ht="17" x14ac:dyDescent="0.25">
      <c r="A448" s="3" t="s">
        <v>801</v>
      </c>
      <c r="B448" s="3">
        <f>2</f>
        <v>2</v>
      </c>
      <c r="C448" s="1"/>
    </row>
    <row r="449" spans="1:3" ht="17" x14ac:dyDescent="0.25">
      <c r="A449" s="3" t="s">
        <v>802</v>
      </c>
      <c r="B449" s="3">
        <f>2</f>
        <v>2</v>
      </c>
      <c r="C449" s="1"/>
    </row>
    <row r="450" spans="1:3" ht="17" x14ac:dyDescent="0.25">
      <c r="A450" s="3" t="s">
        <v>803</v>
      </c>
      <c r="B450" s="3">
        <f>3</f>
        <v>3</v>
      </c>
      <c r="C450" s="1"/>
    </row>
    <row r="451" spans="1:3" ht="17" x14ac:dyDescent="0.25">
      <c r="A451" s="3" t="s">
        <v>804</v>
      </c>
      <c r="B451" s="3">
        <f>2</f>
        <v>2</v>
      </c>
      <c r="C451" s="1"/>
    </row>
    <row r="452" spans="1:3" ht="17" x14ac:dyDescent="0.25">
      <c r="A452" s="3" t="s">
        <v>805</v>
      </c>
      <c r="B452" s="3">
        <f>18</f>
        <v>18</v>
      </c>
      <c r="C452" s="1"/>
    </row>
    <row r="453" spans="1:3" ht="17" x14ac:dyDescent="0.25">
      <c r="A453" s="3" t="s">
        <v>806</v>
      </c>
      <c r="B453" s="3">
        <f xml:space="preserve"> cvvp / nwrq</f>
        <v>29</v>
      </c>
      <c r="C453" s="1"/>
    </row>
    <row r="454" spans="1:3" ht="17" x14ac:dyDescent="0.25">
      <c r="A454" s="3" t="s">
        <v>809</v>
      </c>
      <c r="B454" s="3">
        <f>2</f>
        <v>2</v>
      </c>
      <c r="C454" s="1"/>
    </row>
    <row r="455" spans="1:3" ht="17" x14ac:dyDescent="0.25">
      <c r="A455" s="3" t="s">
        <v>810</v>
      </c>
      <c r="B455" s="3">
        <f xml:space="preserve"> tdpd / trcg</f>
        <v>35</v>
      </c>
      <c r="C455" s="1"/>
    </row>
    <row r="456" spans="1:3" ht="17" x14ac:dyDescent="0.25">
      <c r="A456" s="3" t="s">
        <v>812</v>
      </c>
      <c r="B456" s="3">
        <f>4</f>
        <v>4</v>
      </c>
      <c r="C456" s="1"/>
    </row>
    <row r="457" spans="1:3" ht="17" x14ac:dyDescent="0.25">
      <c r="A457" s="3" t="s">
        <v>813</v>
      </c>
      <c r="B457" s="3">
        <f>2</f>
        <v>2</v>
      </c>
      <c r="C457" s="1"/>
    </row>
    <row r="458" spans="1:3" ht="17" x14ac:dyDescent="0.25">
      <c r="A458" s="3" t="s">
        <v>814</v>
      </c>
      <c r="B458" s="3">
        <f>6</f>
        <v>6</v>
      </c>
      <c r="C458" s="1"/>
    </row>
    <row r="459" spans="1:3" ht="17" x14ac:dyDescent="0.25">
      <c r="A459" s="3" t="s">
        <v>815</v>
      </c>
      <c r="B459" s="3">
        <f xml:space="preserve"> lbhd + rnrz</f>
        <v>7</v>
      </c>
      <c r="C459" s="1"/>
    </row>
    <row r="460" spans="1:3" ht="17" x14ac:dyDescent="0.25">
      <c r="A460" s="3" t="s">
        <v>576</v>
      </c>
      <c r="B460" s="3">
        <f>4</f>
        <v>4</v>
      </c>
      <c r="C460" s="1"/>
    </row>
    <row r="461" spans="1:3" ht="17" x14ac:dyDescent="0.25">
      <c r="A461" s="3" t="s">
        <v>818</v>
      </c>
      <c r="B461" s="3">
        <f xml:space="preserve"> zbjj / hfpr</f>
        <v>127</v>
      </c>
      <c r="C461" s="1"/>
    </row>
    <row r="462" spans="1:3" ht="17" x14ac:dyDescent="0.25">
      <c r="A462" s="3" t="s">
        <v>821</v>
      </c>
      <c r="B462" s="3">
        <f>3</f>
        <v>3</v>
      </c>
      <c r="C462" s="1"/>
    </row>
    <row r="463" spans="1:3" ht="17" x14ac:dyDescent="0.25">
      <c r="A463" s="3" t="s">
        <v>822</v>
      </c>
      <c r="B463" s="3">
        <f>4</f>
        <v>4</v>
      </c>
      <c r="C463" s="1"/>
    </row>
    <row r="464" spans="1:3" ht="17" x14ac:dyDescent="0.25">
      <c r="A464" s="3" t="s">
        <v>823</v>
      </c>
      <c r="B464" s="3">
        <f xml:space="preserve"> rtmt + gdsr</f>
        <v>249</v>
      </c>
      <c r="C464" s="1"/>
    </row>
    <row r="465" spans="1:3" ht="17" x14ac:dyDescent="0.25">
      <c r="A465" s="3" t="s">
        <v>826</v>
      </c>
      <c r="B465" s="3">
        <f>9</f>
        <v>9</v>
      </c>
      <c r="C465" s="1"/>
    </row>
    <row r="466" spans="1:3" ht="17" x14ac:dyDescent="0.25">
      <c r="A466" s="3" t="s">
        <v>827</v>
      </c>
      <c r="B466" s="3">
        <f xml:space="preserve"> gcsn * fdhl</f>
        <v>21</v>
      </c>
      <c r="C466" s="1"/>
    </row>
    <row r="467" spans="1:3" ht="17" x14ac:dyDescent="0.25">
      <c r="A467" s="3" t="s">
        <v>545</v>
      </c>
      <c r="B467" s="3">
        <f>9</f>
        <v>9</v>
      </c>
      <c r="C467" s="1"/>
    </row>
    <row r="468" spans="1:3" ht="17" x14ac:dyDescent="0.25">
      <c r="A468" s="3" t="s">
        <v>830</v>
      </c>
      <c r="B468" s="3">
        <f>2</f>
        <v>2</v>
      </c>
      <c r="C468" s="1"/>
    </row>
    <row r="469" spans="1:3" ht="17" x14ac:dyDescent="0.25">
      <c r="A469" s="3" t="s">
        <v>831</v>
      </c>
      <c r="B469" s="3">
        <f>6</f>
        <v>6</v>
      </c>
      <c r="C469" s="1"/>
    </row>
    <row r="470" spans="1:3" ht="17" x14ac:dyDescent="0.25">
      <c r="A470" s="3" t="s">
        <v>832</v>
      </c>
      <c r="B470" s="3">
        <f>2</f>
        <v>2</v>
      </c>
      <c r="C470" s="1"/>
    </row>
    <row r="471" spans="1:3" ht="17" x14ac:dyDescent="0.25">
      <c r="A471" s="3" t="s">
        <v>833</v>
      </c>
      <c r="B471" s="3">
        <f>4</f>
        <v>4</v>
      </c>
      <c r="C471" s="1"/>
    </row>
    <row r="472" spans="1:3" ht="17" x14ac:dyDescent="0.25">
      <c r="A472" s="3" t="s">
        <v>834</v>
      </c>
      <c r="B472" s="3">
        <f xml:space="preserve"> cggg - stls</f>
        <v>7</v>
      </c>
      <c r="C472" s="1"/>
    </row>
    <row r="473" spans="1:3" ht="17" x14ac:dyDescent="0.25">
      <c r="A473" s="3" t="s">
        <v>836</v>
      </c>
      <c r="B473" s="3">
        <f xml:space="preserve"> jzpn + wqqc</f>
        <v>39</v>
      </c>
      <c r="C473" s="1"/>
    </row>
    <row r="474" spans="1:3" ht="17" x14ac:dyDescent="0.25">
      <c r="A474" s="3" t="s">
        <v>839</v>
      </c>
      <c r="B474" s="3">
        <f xml:space="preserve"> szvt + rwgf</f>
        <v>29</v>
      </c>
      <c r="C474" s="1"/>
    </row>
    <row r="475" spans="1:3" ht="17" x14ac:dyDescent="0.25">
      <c r="A475" s="3" t="s">
        <v>842</v>
      </c>
      <c r="B475" s="3">
        <f xml:space="preserve"> ldjd * tfrq</f>
        <v>202</v>
      </c>
      <c r="C475" s="1"/>
    </row>
    <row r="476" spans="1:3" ht="17" x14ac:dyDescent="0.25">
      <c r="A476" s="3" t="s">
        <v>845</v>
      </c>
      <c r="B476" s="3">
        <f xml:space="preserve"> bzqc * tprf</f>
        <v>55</v>
      </c>
      <c r="C476" s="1"/>
    </row>
    <row r="477" spans="1:3" ht="17" x14ac:dyDescent="0.25">
      <c r="A477" s="3" t="s">
        <v>847</v>
      </c>
      <c r="B477" s="3">
        <f xml:space="preserve"> fgcf * vlgv</f>
        <v>22816</v>
      </c>
      <c r="C477" s="1"/>
    </row>
    <row r="478" spans="1:3" ht="17" x14ac:dyDescent="0.25">
      <c r="A478" s="3" t="s">
        <v>850</v>
      </c>
      <c r="B478" s="3">
        <f xml:space="preserve"> pthm - lpwc</f>
        <v>61</v>
      </c>
      <c r="C478" s="1"/>
    </row>
    <row r="479" spans="1:3" ht="17" x14ac:dyDescent="0.25">
      <c r="A479" s="3" t="s">
        <v>852</v>
      </c>
      <c r="B479" s="3">
        <f xml:space="preserve"> jqcr * tzpw</f>
        <v>51</v>
      </c>
      <c r="C479" s="1"/>
    </row>
    <row r="480" spans="1:3" ht="17" x14ac:dyDescent="0.25">
      <c r="A480" s="3" t="s">
        <v>855</v>
      </c>
      <c r="B480" s="3">
        <f>5</f>
        <v>5</v>
      </c>
      <c r="C480" s="1"/>
    </row>
    <row r="481" spans="1:3" ht="17" x14ac:dyDescent="0.25">
      <c r="A481" s="3" t="s">
        <v>856</v>
      </c>
      <c r="B481" s="3">
        <f xml:space="preserve"> tdbn + cswv</f>
        <v>37</v>
      </c>
      <c r="C481" s="1"/>
    </row>
    <row r="482" spans="1:3" ht="17" x14ac:dyDescent="0.25">
      <c r="A482" s="3" t="s">
        <v>858</v>
      </c>
      <c r="B482" s="3">
        <f xml:space="preserve"> ntzv * tzdq</f>
        <v>112</v>
      </c>
      <c r="C482" s="1"/>
    </row>
    <row r="483" spans="1:3" ht="17" x14ac:dyDescent="0.25">
      <c r="A483" s="3" t="s">
        <v>861</v>
      </c>
      <c r="B483" s="3">
        <f xml:space="preserve"> cdtl * sgst</f>
        <v>8</v>
      </c>
      <c r="C483" s="1"/>
    </row>
    <row r="484" spans="1:3" ht="17" x14ac:dyDescent="0.25">
      <c r="A484" s="3" t="s">
        <v>864</v>
      </c>
      <c r="B484" s="3">
        <f xml:space="preserve"> rllb + rnqw</f>
        <v>11</v>
      </c>
      <c r="C484" s="1"/>
    </row>
    <row r="485" spans="1:3" ht="17" x14ac:dyDescent="0.25">
      <c r="A485" s="3" t="s">
        <v>866</v>
      </c>
      <c r="B485" s="3">
        <f>4</f>
        <v>4</v>
      </c>
      <c r="C485" s="1"/>
    </row>
    <row r="486" spans="1:3" ht="17" x14ac:dyDescent="0.25">
      <c r="A486" s="3" t="s">
        <v>867</v>
      </c>
      <c r="B486" s="3">
        <f xml:space="preserve"> qvbm * zddm</f>
        <v>218</v>
      </c>
      <c r="C486" s="1"/>
    </row>
    <row r="487" spans="1:3" ht="17" x14ac:dyDescent="0.25">
      <c r="A487" s="3" t="s">
        <v>869</v>
      </c>
      <c r="B487" s="3">
        <f>4</f>
        <v>4</v>
      </c>
      <c r="C487" s="1"/>
    </row>
    <row r="488" spans="1:3" ht="17" x14ac:dyDescent="0.25">
      <c r="A488" s="3" t="s">
        <v>870</v>
      </c>
      <c r="B488" s="3">
        <f>3</f>
        <v>3</v>
      </c>
      <c r="C488" s="1"/>
    </row>
    <row r="489" spans="1:3" ht="17" x14ac:dyDescent="0.25">
      <c r="A489" s="3" t="s">
        <v>871</v>
      </c>
      <c r="B489" s="3">
        <f>2</f>
        <v>2</v>
      </c>
      <c r="C489" s="1"/>
    </row>
    <row r="490" spans="1:3" ht="17" x14ac:dyDescent="0.25">
      <c r="A490" s="3" t="s">
        <v>872</v>
      </c>
      <c r="B490" s="3">
        <f xml:space="preserve"> jssm * twtg</f>
        <v>6</v>
      </c>
      <c r="C490" s="1"/>
    </row>
    <row r="491" spans="1:3" ht="17" x14ac:dyDescent="0.25">
      <c r="A491" s="3" t="s">
        <v>650</v>
      </c>
      <c r="B491" s="3">
        <f>2</f>
        <v>2</v>
      </c>
      <c r="C491" s="1"/>
    </row>
    <row r="492" spans="1:3" ht="17" x14ac:dyDescent="0.25">
      <c r="A492" s="3" t="s">
        <v>309</v>
      </c>
      <c r="B492" s="3">
        <f xml:space="preserve"> lfgv / hsdq</f>
        <v>649</v>
      </c>
      <c r="C492" s="1"/>
    </row>
    <row r="493" spans="1:3" ht="17" x14ac:dyDescent="0.25">
      <c r="A493" s="3" t="s">
        <v>877</v>
      </c>
      <c r="B493" s="3">
        <f>3</f>
        <v>3</v>
      </c>
      <c r="C493" s="1"/>
    </row>
    <row r="494" spans="1:3" ht="17" x14ac:dyDescent="0.25">
      <c r="A494" s="3" t="s">
        <v>878</v>
      </c>
      <c r="B494" s="3">
        <f>6</f>
        <v>6</v>
      </c>
      <c r="C494" s="1"/>
    </row>
    <row r="495" spans="1:3" ht="17" x14ac:dyDescent="0.25">
      <c r="A495" s="3" t="s">
        <v>879</v>
      </c>
      <c r="B495" s="3">
        <f>8</f>
        <v>8</v>
      </c>
      <c r="C495" s="1"/>
    </row>
    <row r="496" spans="1:3" ht="17" x14ac:dyDescent="0.25">
      <c r="A496" s="3" t="s">
        <v>880</v>
      </c>
      <c r="B496" s="3">
        <f>4</f>
        <v>4</v>
      </c>
      <c r="C496" s="1"/>
    </row>
    <row r="497" spans="1:3" ht="17" x14ac:dyDescent="0.25">
      <c r="A497" s="3" t="s">
        <v>881</v>
      </c>
      <c r="B497" s="3">
        <f>3</f>
        <v>3</v>
      </c>
      <c r="C497" s="1"/>
    </row>
    <row r="498" spans="1:3" ht="17" x14ac:dyDescent="0.25">
      <c r="A498" s="3" t="s">
        <v>808</v>
      </c>
      <c r="B498" s="3">
        <f>2</f>
        <v>2</v>
      </c>
      <c r="C498" s="1"/>
    </row>
    <row r="499" spans="1:3" ht="17" x14ac:dyDescent="0.25">
      <c r="A499" s="3" t="s">
        <v>882</v>
      </c>
      <c r="B499" s="3">
        <f>3</f>
        <v>3</v>
      </c>
      <c r="C499" s="1"/>
    </row>
    <row r="500" spans="1:3" ht="17" x14ac:dyDescent="0.25">
      <c r="A500" s="3" t="s">
        <v>883</v>
      </c>
      <c r="B500" s="3">
        <f>5</f>
        <v>5</v>
      </c>
      <c r="C500" s="1"/>
    </row>
    <row r="501" spans="1:3" ht="17" x14ac:dyDescent="0.25">
      <c r="A501" s="3" t="s">
        <v>811</v>
      </c>
      <c r="B501" s="3">
        <f xml:space="preserve"> hjbt * tfsn</f>
        <v>175</v>
      </c>
      <c r="C501" s="1"/>
    </row>
    <row r="502" spans="1:3" ht="17" x14ac:dyDescent="0.25">
      <c r="A502" s="3" t="s">
        <v>886</v>
      </c>
      <c r="B502" s="3">
        <f>4</f>
        <v>4</v>
      </c>
      <c r="C502" s="1"/>
    </row>
    <row r="503" spans="1:3" ht="17" x14ac:dyDescent="0.25">
      <c r="A503" s="3" t="s">
        <v>340</v>
      </c>
      <c r="B503" s="3">
        <f xml:space="preserve"> bmnl * dfjn</f>
        <v>2034</v>
      </c>
      <c r="C503" s="1"/>
    </row>
    <row r="504" spans="1:3" ht="17" x14ac:dyDescent="0.25">
      <c r="A504" s="3" t="s">
        <v>889</v>
      </c>
      <c r="B504" s="3">
        <f>2</f>
        <v>2</v>
      </c>
      <c r="C504" s="1"/>
    </row>
    <row r="505" spans="1:3" ht="17" x14ac:dyDescent="0.25">
      <c r="A505" s="3" t="s">
        <v>890</v>
      </c>
      <c r="B505" s="3">
        <f xml:space="preserve"> djfh * nqmh</f>
        <v>65</v>
      </c>
      <c r="C505" s="1"/>
    </row>
    <row r="506" spans="1:3" ht="17" x14ac:dyDescent="0.25">
      <c r="A506" s="3" t="s">
        <v>892</v>
      </c>
      <c r="B506" s="3">
        <f>5</f>
        <v>5</v>
      </c>
      <c r="C506" s="1"/>
    </row>
    <row r="507" spans="1:3" ht="17" x14ac:dyDescent="0.25">
      <c r="A507" s="3" t="s">
        <v>893</v>
      </c>
      <c r="B507" s="3">
        <f>4</f>
        <v>4</v>
      </c>
      <c r="C507" s="1"/>
    </row>
    <row r="508" spans="1:3" ht="17" x14ac:dyDescent="0.25">
      <c r="A508" s="3" t="s">
        <v>894</v>
      </c>
      <c r="B508" s="3">
        <f>2</f>
        <v>2</v>
      </c>
      <c r="C508" s="1"/>
    </row>
    <row r="509" spans="1:3" ht="17" x14ac:dyDescent="0.25">
      <c r="A509" s="3" t="s">
        <v>895</v>
      </c>
      <c r="B509" s="3">
        <f>4</f>
        <v>4</v>
      </c>
      <c r="C509" s="1"/>
    </row>
    <row r="510" spans="1:3" ht="17" x14ac:dyDescent="0.25">
      <c r="A510" s="3" t="s">
        <v>896</v>
      </c>
      <c r="B510" s="3">
        <f>3</f>
        <v>3</v>
      </c>
      <c r="C510" s="1"/>
    </row>
    <row r="511" spans="1:3" ht="17" x14ac:dyDescent="0.25">
      <c r="A511" s="3" t="s">
        <v>897</v>
      </c>
      <c r="B511" s="3">
        <f>3</f>
        <v>3</v>
      </c>
      <c r="C511" s="1"/>
    </row>
    <row r="512" spans="1:3" ht="17" x14ac:dyDescent="0.25">
      <c r="A512" s="3" t="s">
        <v>898</v>
      </c>
      <c r="B512" s="3">
        <f>7</f>
        <v>7</v>
      </c>
      <c r="C512" s="1"/>
    </row>
    <row r="513" spans="1:3" ht="17" x14ac:dyDescent="0.25">
      <c r="A513" s="3" t="s">
        <v>899</v>
      </c>
      <c r="B513" s="3">
        <f xml:space="preserve"> gtjc / bjfm</f>
        <v>307</v>
      </c>
      <c r="C513" s="1"/>
    </row>
    <row r="514" spans="1:3" ht="17" x14ac:dyDescent="0.25">
      <c r="A514" s="3" t="s">
        <v>901</v>
      </c>
      <c r="B514" s="3">
        <f>5</f>
        <v>5</v>
      </c>
      <c r="C514" s="1"/>
    </row>
    <row r="515" spans="1:3" ht="17" x14ac:dyDescent="0.25">
      <c r="A515" s="3" t="s">
        <v>902</v>
      </c>
      <c r="B515" s="3">
        <f>16</f>
        <v>16</v>
      </c>
      <c r="C515" s="1"/>
    </row>
    <row r="516" spans="1:3" ht="17" x14ac:dyDescent="0.25">
      <c r="A516" s="3" t="s">
        <v>903</v>
      </c>
      <c r="B516" s="3">
        <f xml:space="preserve"> nltt * mjnm</f>
        <v>21</v>
      </c>
      <c r="C516" s="1"/>
    </row>
    <row r="517" spans="1:3" ht="17" x14ac:dyDescent="0.25">
      <c r="A517" s="3" t="s">
        <v>906</v>
      </c>
      <c r="B517" s="3">
        <f>2</f>
        <v>2</v>
      </c>
      <c r="C517" s="1"/>
    </row>
    <row r="518" spans="1:3" ht="17" x14ac:dyDescent="0.25">
      <c r="A518" s="3" t="s">
        <v>907</v>
      </c>
      <c r="B518" s="3">
        <f>2</f>
        <v>2</v>
      </c>
      <c r="C518" s="1"/>
    </row>
    <row r="519" spans="1:3" ht="17" x14ac:dyDescent="0.25">
      <c r="A519" s="3" t="s">
        <v>908</v>
      </c>
      <c r="B519" s="3">
        <f xml:space="preserve"> mgsz / nddv</f>
        <v>1305</v>
      </c>
      <c r="C519" s="1"/>
    </row>
    <row r="520" spans="1:3" ht="17" x14ac:dyDescent="0.25">
      <c r="A520" s="3" t="s">
        <v>909</v>
      </c>
      <c r="B520" s="3">
        <f xml:space="preserve"> pqtl + gpcg</f>
        <v>23</v>
      </c>
      <c r="C520" s="1"/>
    </row>
    <row r="521" spans="1:3" ht="17" x14ac:dyDescent="0.25">
      <c r="A521" s="3" t="s">
        <v>912</v>
      </c>
      <c r="B521" s="3">
        <f>2</f>
        <v>2</v>
      </c>
      <c r="C521" s="1"/>
    </row>
    <row r="522" spans="1:3" ht="17" x14ac:dyDescent="0.25">
      <c r="A522" s="3" t="s">
        <v>913</v>
      </c>
      <c r="B522" s="3">
        <f xml:space="preserve"> zcsf * flnj</f>
        <v>10</v>
      </c>
      <c r="C522" s="1"/>
    </row>
    <row r="523" spans="1:3" ht="17" x14ac:dyDescent="0.25">
      <c r="A523" s="3" t="s">
        <v>915</v>
      </c>
      <c r="B523" s="3">
        <f xml:space="preserve"> qpwh * nhzt</f>
        <v>10</v>
      </c>
      <c r="C523" s="1"/>
    </row>
    <row r="524" spans="1:3" ht="17" x14ac:dyDescent="0.25">
      <c r="A524" s="3" t="s">
        <v>917</v>
      </c>
      <c r="B524" s="3">
        <f>19</f>
        <v>19</v>
      </c>
      <c r="C524" s="1"/>
    </row>
    <row r="525" spans="1:3" ht="17" x14ac:dyDescent="0.25">
      <c r="A525" s="3" t="s">
        <v>50</v>
      </c>
      <c r="B525" s="3">
        <f xml:space="preserve"> smlh * tqwl</f>
        <v>15</v>
      </c>
      <c r="C525" s="1"/>
    </row>
    <row r="526" spans="1:3" ht="17" x14ac:dyDescent="0.25">
      <c r="A526" s="3" t="s">
        <v>919</v>
      </c>
      <c r="B526" s="3">
        <f>4</f>
        <v>4</v>
      </c>
      <c r="C526" s="1"/>
    </row>
    <row r="527" spans="1:3" ht="17" x14ac:dyDescent="0.25">
      <c r="A527" s="3" t="s">
        <v>920</v>
      </c>
      <c r="B527" s="3">
        <f xml:space="preserve"> bcvc + gcjz</f>
        <v>7</v>
      </c>
      <c r="C527" s="1"/>
    </row>
    <row r="528" spans="1:3" ht="17" x14ac:dyDescent="0.25">
      <c r="A528" s="3" t="s">
        <v>922</v>
      </c>
      <c r="B528" s="3">
        <f>7</f>
        <v>7</v>
      </c>
      <c r="C528" s="1"/>
    </row>
    <row r="529" spans="1:3" ht="17" x14ac:dyDescent="0.25">
      <c r="A529" s="3" t="s">
        <v>923</v>
      </c>
      <c r="B529" s="3">
        <f>5</f>
        <v>5</v>
      </c>
      <c r="C529" s="1"/>
    </row>
    <row r="530" spans="1:3" ht="17" x14ac:dyDescent="0.25">
      <c r="A530" s="3" t="s">
        <v>924</v>
      </c>
      <c r="B530" s="3">
        <f xml:space="preserve"> lvqb * fwln</f>
        <v>276</v>
      </c>
      <c r="C530" s="1"/>
    </row>
    <row r="531" spans="1:3" ht="17" x14ac:dyDescent="0.25">
      <c r="A531" s="3" t="s">
        <v>926</v>
      </c>
      <c r="B531" s="3">
        <f>4</f>
        <v>4</v>
      </c>
      <c r="C531" s="1"/>
    </row>
    <row r="532" spans="1:3" ht="17" x14ac:dyDescent="0.25">
      <c r="A532" s="3" t="s">
        <v>927</v>
      </c>
      <c r="B532" s="3">
        <f>4</f>
        <v>4</v>
      </c>
      <c r="C532" s="1"/>
    </row>
    <row r="533" spans="1:3" ht="17" x14ac:dyDescent="0.25">
      <c r="A533" s="3" t="s">
        <v>928</v>
      </c>
      <c r="B533" s="3">
        <f>2</f>
        <v>2</v>
      </c>
      <c r="C533" s="1"/>
    </row>
    <row r="534" spans="1:3" ht="17" x14ac:dyDescent="0.25">
      <c r="A534" s="3" t="s">
        <v>929</v>
      </c>
      <c r="B534" s="3">
        <f xml:space="preserve"> hmfz + qfsg</f>
        <v>653</v>
      </c>
      <c r="C534" s="1"/>
    </row>
    <row r="535" spans="1:3" ht="17" x14ac:dyDescent="0.25">
      <c r="A535" s="3" t="s">
        <v>932</v>
      </c>
      <c r="B535" s="3">
        <f xml:space="preserve"> mhhm + hfzt</f>
        <v>57</v>
      </c>
      <c r="C535" s="1"/>
    </row>
    <row r="536" spans="1:3" ht="17" x14ac:dyDescent="0.25">
      <c r="A536" s="3" t="s">
        <v>935</v>
      </c>
      <c r="B536" s="3">
        <f xml:space="preserve"> trml * mwpn</f>
        <v>28</v>
      </c>
      <c r="C536" s="1"/>
    </row>
    <row r="537" spans="1:3" ht="17" x14ac:dyDescent="0.25">
      <c r="A537" s="3" t="s">
        <v>938</v>
      </c>
      <c r="B537" s="3">
        <f>4</f>
        <v>4</v>
      </c>
      <c r="C537" s="1"/>
    </row>
    <row r="538" spans="1:3" ht="17" x14ac:dyDescent="0.25">
      <c r="A538" s="3" t="s">
        <v>939</v>
      </c>
      <c r="B538" s="3">
        <f xml:space="preserve"> jszm + hzpn</f>
        <v>181</v>
      </c>
      <c r="C538" s="1"/>
    </row>
    <row r="539" spans="1:3" ht="17" x14ac:dyDescent="0.25">
      <c r="A539" s="3" t="s">
        <v>941</v>
      </c>
      <c r="B539" s="3">
        <f>5</f>
        <v>5</v>
      </c>
      <c r="C539" s="1"/>
    </row>
    <row r="540" spans="1:3" ht="17" x14ac:dyDescent="0.25">
      <c r="A540" s="3" t="s">
        <v>221</v>
      </c>
      <c r="B540" s="3">
        <f xml:space="preserve"> przn + bjwc</f>
        <v>86</v>
      </c>
      <c r="C540" s="1"/>
    </row>
    <row r="541" spans="1:3" ht="17" x14ac:dyDescent="0.25">
      <c r="A541" s="3" t="s">
        <v>943</v>
      </c>
      <c r="B541" s="3">
        <f>1</f>
        <v>1</v>
      </c>
      <c r="C541" s="1"/>
    </row>
    <row r="542" spans="1:3" ht="17" x14ac:dyDescent="0.25">
      <c r="A542" s="3" t="s">
        <v>944</v>
      </c>
      <c r="B542" s="3">
        <f xml:space="preserve"> crnl * plnq</f>
        <v>80</v>
      </c>
      <c r="C542" s="1"/>
    </row>
    <row r="543" spans="1:3" ht="17" x14ac:dyDescent="0.25">
      <c r="A543" s="3" t="s">
        <v>947</v>
      </c>
      <c r="B543" s="3">
        <f xml:space="preserve"> lbhh * wlvr</f>
        <v>119</v>
      </c>
      <c r="C543" s="1"/>
    </row>
    <row r="544" spans="1:3" ht="17" x14ac:dyDescent="0.25">
      <c r="A544" s="3" t="s">
        <v>950</v>
      </c>
      <c r="B544" s="3">
        <f xml:space="preserve"> pvdl * rhbs</f>
        <v>8098</v>
      </c>
      <c r="C544" s="1"/>
    </row>
    <row r="545" spans="1:3" ht="17" x14ac:dyDescent="0.25">
      <c r="A545" s="3" t="s">
        <v>953</v>
      </c>
      <c r="B545" s="3">
        <f>9</f>
        <v>9</v>
      </c>
      <c r="C545" s="1"/>
    </row>
    <row r="546" spans="1:3" ht="17" x14ac:dyDescent="0.25">
      <c r="A546" s="3" t="s">
        <v>853</v>
      </c>
      <c r="B546" s="3">
        <f xml:space="preserve"> jsvp - ffjs</f>
        <v>17</v>
      </c>
      <c r="C546" s="1"/>
    </row>
    <row r="547" spans="1:3" ht="17" x14ac:dyDescent="0.25">
      <c r="A547" s="3" t="s">
        <v>956</v>
      </c>
      <c r="B547" s="3">
        <f>17</f>
        <v>17</v>
      </c>
      <c r="C547" s="1"/>
    </row>
    <row r="548" spans="1:3" ht="17" x14ac:dyDescent="0.25">
      <c r="A548" s="3" t="s">
        <v>480</v>
      </c>
      <c r="B548" s="3">
        <f>8</f>
        <v>8</v>
      </c>
      <c r="C548" s="1"/>
    </row>
    <row r="549" spans="1:3" ht="17" x14ac:dyDescent="0.25">
      <c r="A549" s="3" t="s">
        <v>957</v>
      </c>
      <c r="B549" s="3">
        <f>2</f>
        <v>2</v>
      </c>
      <c r="C549" s="1"/>
    </row>
    <row r="550" spans="1:3" ht="17" x14ac:dyDescent="0.25">
      <c r="A550" s="3" t="s">
        <v>337</v>
      </c>
      <c r="B550" s="3">
        <f>2</f>
        <v>2</v>
      </c>
      <c r="C550" s="1"/>
    </row>
    <row r="551" spans="1:3" ht="17" x14ac:dyDescent="0.25">
      <c r="A551" s="3" t="s">
        <v>958</v>
      </c>
      <c r="B551" s="3">
        <f>2</f>
        <v>2</v>
      </c>
      <c r="C551" s="1"/>
    </row>
    <row r="552" spans="1:3" ht="17" x14ac:dyDescent="0.25">
      <c r="A552" s="3" t="s">
        <v>683</v>
      </c>
      <c r="B552" s="3">
        <f xml:space="preserve"> sswb + zsfg</f>
        <v>47</v>
      </c>
      <c r="C552" s="1"/>
    </row>
    <row r="553" spans="1:3" ht="17" x14ac:dyDescent="0.25">
      <c r="A553" s="3" t="s">
        <v>961</v>
      </c>
      <c r="B553" s="3">
        <f xml:space="preserve"> dnjl * npqh</f>
        <v>15610303684582</v>
      </c>
      <c r="C553" s="1"/>
    </row>
    <row r="554" spans="1:3" ht="17" x14ac:dyDescent="0.25">
      <c r="A554" s="3" t="s">
        <v>963</v>
      </c>
      <c r="B554" s="3">
        <f>10</f>
        <v>10</v>
      </c>
      <c r="C554" s="1"/>
    </row>
    <row r="555" spans="1:3" ht="17" x14ac:dyDescent="0.25">
      <c r="A555" s="3" t="s">
        <v>964</v>
      </c>
      <c r="B555" s="3">
        <f>1</f>
        <v>1</v>
      </c>
      <c r="C555" s="1"/>
    </row>
    <row r="556" spans="1:3" ht="17" x14ac:dyDescent="0.25">
      <c r="A556" s="3" t="s">
        <v>174</v>
      </c>
      <c r="B556" s="3">
        <f>2</f>
        <v>2</v>
      </c>
      <c r="C556" s="1"/>
    </row>
    <row r="557" spans="1:3" ht="17" x14ac:dyDescent="0.25">
      <c r="A557" s="3" t="s">
        <v>965</v>
      </c>
      <c r="B557" s="3">
        <f xml:space="preserve"> sdvv + ggnn</f>
        <v>2161</v>
      </c>
      <c r="C557" s="1"/>
    </row>
    <row r="558" spans="1:3" ht="17" x14ac:dyDescent="0.25">
      <c r="A558" s="3" t="s">
        <v>559</v>
      </c>
      <c r="B558" s="3">
        <f xml:space="preserve"> djwb * vjvc</f>
        <v>34</v>
      </c>
      <c r="C558" s="1"/>
    </row>
    <row r="559" spans="1:3" ht="17" x14ac:dyDescent="0.25">
      <c r="A559" s="3" t="s">
        <v>528</v>
      </c>
      <c r="B559" s="3">
        <f>15</f>
        <v>15</v>
      </c>
      <c r="C559" s="1"/>
    </row>
    <row r="560" spans="1:3" ht="17" x14ac:dyDescent="0.25">
      <c r="A560" s="3" t="s">
        <v>970</v>
      </c>
      <c r="B560" s="3">
        <f xml:space="preserve"> dpbn * jbcb</f>
        <v>930476388</v>
      </c>
      <c r="C560" s="1"/>
    </row>
    <row r="561" spans="1:7" ht="17" x14ac:dyDescent="0.25">
      <c r="A561" s="3" t="s">
        <v>973</v>
      </c>
      <c r="B561" s="3">
        <f xml:space="preserve"> mftn + hgtf</f>
        <v>17</v>
      </c>
      <c r="C561" s="1"/>
    </row>
    <row r="562" spans="1:7" ht="17" x14ac:dyDescent="0.25">
      <c r="A562" s="3" t="s">
        <v>976</v>
      </c>
      <c r="B562" s="3">
        <f>9</f>
        <v>9</v>
      </c>
      <c r="C562" s="1"/>
    </row>
    <row r="563" spans="1:7" ht="17" x14ac:dyDescent="0.25">
      <c r="A563" s="3" t="s">
        <v>977</v>
      </c>
      <c r="B563" s="3">
        <f xml:space="preserve"> rdcj + tlqm</f>
        <v>152</v>
      </c>
      <c r="C563" s="1"/>
    </row>
    <row r="564" spans="1:7" ht="17" x14ac:dyDescent="0.25">
      <c r="A564" s="3" t="s">
        <v>979</v>
      </c>
      <c r="B564" s="3">
        <f xml:space="preserve"> wdpz + jqvn</f>
        <v>12</v>
      </c>
      <c r="C564" s="1"/>
    </row>
    <row r="565" spans="1:7" ht="17" x14ac:dyDescent="0.25">
      <c r="A565" s="3" t="s">
        <v>981</v>
      </c>
      <c r="B565" s="3">
        <f xml:space="preserve"> gmrp + jlbh</f>
        <v>6524383</v>
      </c>
      <c r="C565" s="1"/>
    </row>
    <row r="566" spans="1:7" ht="17" x14ac:dyDescent="0.25">
      <c r="A566" s="3" t="s">
        <v>983</v>
      </c>
      <c r="B566" s="3">
        <f>1</f>
        <v>1</v>
      </c>
      <c r="C566" s="1"/>
    </row>
    <row r="567" spans="1:7" ht="17" x14ac:dyDescent="0.25">
      <c r="A567" s="3" t="s">
        <v>984</v>
      </c>
      <c r="B567" s="3">
        <f>3</f>
        <v>3</v>
      </c>
      <c r="C567" s="1"/>
    </row>
    <row r="568" spans="1:7" ht="17" x14ac:dyDescent="0.25">
      <c r="A568" s="3" t="s">
        <v>985</v>
      </c>
      <c r="B568" s="3">
        <f>6</f>
        <v>6</v>
      </c>
      <c r="C568" s="1"/>
    </row>
    <row r="569" spans="1:7" ht="17" x14ac:dyDescent="0.25">
      <c r="A569" s="3" t="s">
        <v>986</v>
      </c>
      <c r="B569" s="3">
        <f>5</f>
        <v>5</v>
      </c>
      <c r="C569" s="1"/>
    </row>
    <row r="570" spans="1:7" ht="17" x14ac:dyDescent="0.25">
      <c r="A570" s="3" t="s">
        <v>987</v>
      </c>
      <c r="B570" s="3">
        <f xml:space="preserve"> qffn + wrsf</f>
        <v>3759569926476</v>
      </c>
      <c r="C570" s="1"/>
    </row>
    <row r="571" spans="1:7" ht="17" x14ac:dyDescent="0.25">
      <c r="A571" s="3" t="s">
        <v>351</v>
      </c>
      <c r="B571" s="3">
        <f xml:space="preserve"> djfj * zvjq</f>
        <v>21</v>
      </c>
      <c r="C571" s="1"/>
    </row>
    <row r="572" spans="1:7" ht="17" x14ac:dyDescent="0.25">
      <c r="A572" s="3" t="s">
        <v>686</v>
      </c>
      <c r="B572" s="3">
        <f>8</f>
        <v>8</v>
      </c>
      <c r="C572" s="1"/>
    </row>
    <row r="573" spans="1:7" ht="17" x14ac:dyDescent="0.25">
      <c r="A573" s="3" t="s">
        <v>992</v>
      </c>
      <c r="B573" s="3">
        <f>3</f>
        <v>3</v>
      </c>
      <c r="C573" s="1"/>
    </row>
    <row r="574" spans="1:7" ht="17" x14ac:dyDescent="0.25">
      <c r="A574" s="3" t="s">
        <v>993</v>
      </c>
      <c r="B574" s="3">
        <f xml:space="preserve"> jdqw + nrrs</f>
        <v>31220607369164</v>
      </c>
      <c r="C574" s="1"/>
    </row>
    <row r="575" spans="1:7" ht="17" x14ac:dyDescent="0.25">
      <c r="A575" s="3" t="s">
        <v>995</v>
      </c>
      <c r="B575" s="3">
        <f xml:space="preserve"> tmhr + sbdb</f>
        <v>109</v>
      </c>
      <c r="C575" s="1"/>
      <c r="G575" s="2"/>
    </row>
    <row r="576" spans="1:7" ht="17" x14ac:dyDescent="0.25">
      <c r="A576" s="3" t="s">
        <v>997</v>
      </c>
      <c r="B576" s="3">
        <f>3</f>
        <v>3</v>
      </c>
      <c r="C576" s="1"/>
    </row>
    <row r="577" spans="1:3" ht="17" x14ac:dyDescent="0.25">
      <c r="A577" s="3" t="s">
        <v>287</v>
      </c>
      <c r="B577" s="3">
        <f xml:space="preserve"> fcdw + cdjw</f>
        <v>277</v>
      </c>
      <c r="C577" s="1"/>
    </row>
    <row r="578" spans="1:3" ht="17" x14ac:dyDescent="0.25">
      <c r="A578" s="3" t="s">
        <v>1000</v>
      </c>
      <c r="B578" s="3">
        <f xml:space="preserve"> ghvt + snwb</f>
        <v>31</v>
      </c>
      <c r="C578" s="1"/>
    </row>
    <row r="579" spans="1:3" ht="17" x14ac:dyDescent="0.25">
      <c r="A579" s="3" t="s">
        <v>522</v>
      </c>
      <c r="B579" s="3">
        <f>2</f>
        <v>2</v>
      </c>
      <c r="C579" s="1"/>
    </row>
    <row r="580" spans="1:3" ht="17" x14ac:dyDescent="0.25">
      <c r="A580" s="3" t="s">
        <v>1002</v>
      </c>
      <c r="B580" s="3">
        <f>3</f>
        <v>3</v>
      </c>
      <c r="C580" s="1"/>
    </row>
    <row r="581" spans="1:3" ht="17" x14ac:dyDescent="0.25">
      <c r="A581" s="3" t="s">
        <v>1003</v>
      </c>
      <c r="B581" s="3">
        <f>2</f>
        <v>2</v>
      </c>
      <c r="C581" s="1"/>
    </row>
    <row r="582" spans="1:3" ht="17" x14ac:dyDescent="0.25">
      <c r="A582" s="3" t="s">
        <v>1004</v>
      </c>
      <c r="B582" s="3">
        <f>5</f>
        <v>5</v>
      </c>
      <c r="C582" s="1"/>
    </row>
    <row r="583" spans="1:3" ht="17" x14ac:dyDescent="0.25">
      <c r="A583" s="3" t="s">
        <v>1005</v>
      </c>
      <c r="B583" s="3">
        <f>5</f>
        <v>5</v>
      </c>
      <c r="C583" s="1"/>
    </row>
    <row r="584" spans="1:3" ht="17" x14ac:dyDescent="0.25">
      <c r="A584" s="3" t="s">
        <v>1006</v>
      </c>
      <c r="B584" s="3">
        <f xml:space="preserve"> btsh * mnqc</f>
        <v>68</v>
      </c>
      <c r="C584" s="1"/>
    </row>
    <row r="585" spans="1:3" ht="17" x14ac:dyDescent="0.25">
      <c r="A585" s="3" t="s">
        <v>1008</v>
      </c>
      <c r="B585" s="3">
        <f>11</f>
        <v>11</v>
      </c>
      <c r="C585" s="1"/>
    </row>
    <row r="586" spans="1:3" ht="17" x14ac:dyDescent="0.25">
      <c r="A586" s="3" t="s">
        <v>1009</v>
      </c>
      <c r="B586" s="3">
        <f xml:space="preserve"> qzgh + qjjt</f>
        <v>37</v>
      </c>
      <c r="C586" s="1"/>
    </row>
    <row r="587" spans="1:3" ht="17" x14ac:dyDescent="0.25">
      <c r="A587" s="3" t="s">
        <v>88</v>
      </c>
      <c r="B587" s="3">
        <f>2</f>
        <v>2</v>
      </c>
      <c r="C587" s="1"/>
    </row>
    <row r="588" spans="1:3" ht="17" x14ac:dyDescent="0.25">
      <c r="A588" s="3" t="s">
        <v>1012</v>
      </c>
      <c r="B588" s="3">
        <f>1</f>
        <v>1</v>
      </c>
      <c r="C588" s="1"/>
    </row>
    <row r="589" spans="1:3" ht="17" x14ac:dyDescent="0.25">
      <c r="A589" s="3" t="s">
        <v>952</v>
      </c>
      <c r="B589" s="3">
        <f xml:space="preserve"> pqfd + mqrv</f>
        <v>4049</v>
      </c>
      <c r="C589" s="1"/>
    </row>
    <row r="590" spans="1:3" ht="17" x14ac:dyDescent="0.25">
      <c r="A590" s="3" t="s">
        <v>1014</v>
      </c>
      <c r="B590" s="3">
        <f xml:space="preserve"> phvl * ggpb</f>
        <v>26</v>
      </c>
      <c r="C590" s="1"/>
    </row>
    <row r="591" spans="1:3" ht="17" x14ac:dyDescent="0.25">
      <c r="A591" s="3" t="s">
        <v>1016</v>
      </c>
      <c r="B591" s="3">
        <f xml:space="preserve"> wmrp * pvch</f>
        <v>8119</v>
      </c>
      <c r="C591" s="1"/>
    </row>
    <row r="592" spans="1:3" ht="17" x14ac:dyDescent="0.25">
      <c r="A592" s="3" t="s">
        <v>1019</v>
      </c>
      <c r="B592" s="3">
        <f>2</f>
        <v>2</v>
      </c>
      <c r="C592" s="1"/>
    </row>
    <row r="593" spans="1:3" ht="17" x14ac:dyDescent="0.25">
      <c r="A593" s="3" t="s">
        <v>1020</v>
      </c>
      <c r="B593" s="3">
        <f>3</f>
        <v>3</v>
      </c>
      <c r="C593" s="1"/>
    </row>
    <row r="594" spans="1:3" ht="17" x14ac:dyDescent="0.25">
      <c r="A594" s="3" t="s">
        <v>795</v>
      </c>
      <c r="B594" s="3">
        <f xml:space="preserve"> sntt * bsrp</f>
        <v>137268327960602</v>
      </c>
      <c r="C594" s="1"/>
    </row>
    <row r="595" spans="1:3" ht="17" x14ac:dyDescent="0.25">
      <c r="A595" s="3" t="s">
        <v>1023</v>
      </c>
      <c r="B595" s="3">
        <f>2</f>
        <v>2</v>
      </c>
      <c r="C595" s="1"/>
    </row>
    <row r="596" spans="1:3" ht="17" x14ac:dyDescent="0.25">
      <c r="A596" s="3" t="s">
        <v>1024</v>
      </c>
      <c r="B596" s="3">
        <f>8</f>
        <v>8</v>
      </c>
      <c r="C596" s="1"/>
    </row>
    <row r="597" spans="1:3" ht="17" x14ac:dyDescent="0.25">
      <c r="A597" s="3" t="s">
        <v>1025</v>
      </c>
      <c r="B597" s="3">
        <f xml:space="preserve"> pmlq + ndfj</f>
        <v>243</v>
      </c>
      <c r="C597" s="1"/>
    </row>
    <row r="598" spans="1:3" ht="17" x14ac:dyDescent="0.25">
      <c r="A598" s="3" t="s">
        <v>1026</v>
      </c>
      <c r="B598" s="3">
        <f xml:space="preserve"> ccrb + jshp</f>
        <v>168</v>
      </c>
      <c r="C598" s="1"/>
    </row>
    <row r="599" spans="1:3" ht="17" x14ac:dyDescent="0.25">
      <c r="A599" s="3" t="s">
        <v>607</v>
      </c>
      <c r="B599" s="3">
        <f>4</f>
        <v>4</v>
      </c>
      <c r="C599" s="1"/>
    </row>
    <row r="600" spans="1:3" ht="17" x14ac:dyDescent="0.25">
      <c r="A600" s="3" t="s">
        <v>1029</v>
      </c>
      <c r="B600" s="3">
        <f xml:space="preserve"> wwhs * qrvv</f>
        <v>98</v>
      </c>
      <c r="C600" s="1"/>
    </row>
    <row r="601" spans="1:3" ht="17" x14ac:dyDescent="0.25">
      <c r="A601" s="3" t="s">
        <v>1032</v>
      </c>
      <c r="B601" s="3">
        <f>11</f>
        <v>11</v>
      </c>
      <c r="C601" s="1"/>
    </row>
    <row r="602" spans="1:3" ht="17" x14ac:dyDescent="0.25">
      <c r="A602" s="3" t="s">
        <v>138</v>
      </c>
      <c r="B602" s="3">
        <f>12</f>
        <v>12</v>
      </c>
      <c r="C602" s="1"/>
    </row>
    <row r="603" spans="1:3" ht="17" x14ac:dyDescent="0.25">
      <c r="A603" s="3" t="s">
        <v>1033</v>
      </c>
      <c r="B603" s="3">
        <f xml:space="preserve"> dtww * pdpj</f>
        <v>21</v>
      </c>
      <c r="C603" s="1"/>
    </row>
    <row r="604" spans="1:3" ht="17" x14ac:dyDescent="0.25">
      <c r="A604" s="3" t="s">
        <v>1035</v>
      </c>
      <c r="B604" s="3">
        <f>11</f>
        <v>11</v>
      </c>
      <c r="C604" s="1"/>
    </row>
    <row r="605" spans="1:3" ht="17" x14ac:dyDescent="0.25">
      <c r="A605" s="3" t="s">
        <v>1036</v>
      </c>
      <c r="B605" s="3">
        <f xml:space="preserve"> rssf * zpft</f>
        <v>152</v>
      </c>
      <c r="C605" s="1"/>
    </row>
    <row r="606" spans="1:3" ht="17" x14ac:dyDescent="0.25">
      <c r="A606" s="3" t="s">
        <v>1039</v>
      </c>
      <c r="B606" s="3">
        <f xml:space="preserve"> hchd + hbln</f>
        <v>29</v>
      </c>
      <c r="C606" s="1"/>
    </row>
    <row r="607" spans="1:3" ht="17" x14ac:dyDescent="0.25">
      <c r="A607" s="3" t="s">
        <v>937</v>
      </c>
      <c r="B607" s="3">
        <f>4</f>
        <v>4</v>
      </c>
      <c r="C607" s="1"/>
    </row>
    <row r="608" spans="1:3" ht="17" x14ac:dyDescent="0.25">
      <c r="A608" s="3" t="s">
        <v>1041</v>
      </c>
      <c r="B608" s="3">
        <f xml:space="preserve"> rpcj + mmmf</f>
        <v>7</v>
      </c>
      <c r="C608" s="1"/>
    </row>
    <row r="609" spans="1:3" ht="17" x14ac:dyDescent="0.25">
      <c r="A609" s="3" t="s">
        <v>1043</v>
      </c>
      <c r="B609" s="3">
        <f xml:space="preserve"> nzbh * wzts</f>
        <v>456</v>
      </c>
      <c r="C609" s="1"/>
    </row>
    <row r="610" spans="1:3" ht="17" x14ac:dyDescent="0.25">
      <c r="A610" s="3" t="s">
        <v>1046</v>
      </c>
      <c r="B610" s="3">
        <f>2</f>
        <v>2</v>
      </c>
      <c r="C610" s="1"/>
    </row>
    <row r="611" spans="1:3" ht="17" x14ac:dyDescent="0.25">
      <c r="A611" s="3" t="s">
        <v>1047</v>
      </c>
      <c r="B611" s="3">
        <f>2</f>
        <v>2</v>
      </c>
      <c r="C611" s="1"/>
    </row>
    <row r="612" spans="1:3" ht="17" x14ac:dyDescent="0.25">
      <c r="A612" s="3" t="s">
        <v>1048</v>
      </c>
      <c r="B612" s="3">
        <f>3</f>
        <v>3</v>
      </c>
      <c r="C612" s="1"/>
    </row>
    <row r="613" spans="1:3" ht="17" x14ac:dyDescent="0.25">
      <c r="A613" s="3" t="s">
        <v>381</v>
      </c>
      <c r="B613" s="3">
        <f xml:space="preserve"> tpbw * nlfv</f>
        <v>65</v>
      </c>
      <c r="C613" s="1"/>
    </row>
    <row r="614" spans="1:3" ht="17" x14ac:dyDescent="0.25">
      <c r="A614" s="3" t="s">
        <v>670</v>
      </c>
      <c r="B614" s="3">
        <f>5</f>
        <v>5</v>
      </c>
      <c r="C614" s="1"/>
    </row>
    <row r="615" spans="1:3" ht="17" x14ac:dyDescent="0.25">
      <c r="A615" s="3" t="s">
        <v>1051</v>
      </c>
      <c r="B615" s="3">
        <f>3</f>
        <v>3</v>
      </c>
      <c r="C615" s="1"/>
    </row>
    <row r="616" spans="1:3" ht="17" x14ac:dyDescent="0.25">
      <c r="A616" s="3" t="s">
        <v>1052</v>
      </c>
      <c r="B616" s="3">
        <f>7</f>
        <v>7</v>
      </c>
      <c r="C616" s="1"/>
    </row>
    <row r="617" spans="1:3" ht="17" x14ac:dyDescent="0.25">
      <c r="A617" s="3" t="s">
        <v>846</v>
      </c>
      <c r="B617" s="3">
        <f>5</f>
        <v>5</v>
      </c>
      <c r="C617" s="1"/>
    </row>
    <row r="618" spans="1:3" ht="17" x14ac:dyDescent="0.25">
      <c r="A618" s="3" t="s">
        <v>1053</v>
      </c>
      <c r="B618" s="3">
        <f xml:space="preserve"> rzwz * bcvs</f>
        <v>34</v>
      </c>
      <c r="C618" s="1"/>
    </row>
    <row r="619" spans="1:3" ht="17" x14ac:dyDescent="0.25">
      <c r="A619" s="3" t="s">
        <v>1055</v>
      </c>
      <c r="B619" s="3">
        <f xml:space="preserve"> vcbn / pgjt</f>
        <v>20452060399353</v>
      </c>
      <c r="C619" s="1"/>
    </row>
    <row r="620" spans="1:3" ht="17" x14ac:dyDescent="0.25">
      <c r="A620" s="3" t="s">
        <v>1058</v>
      </c>
      <c r="B620" s="3">
        <f xml:space="preserve"> nmpt + gspb</f>
        <v>29</v>
      </c>
      <c r="C620" s="1"/>
    </row>
    <row r="621" spans="1:3" ht="17" x14ac:dyDescent="0.25">
      <c r="A621" s="3" t="s">
        <v>1060</v>
      </c>
      <c r="B621" s="3">
        <f xml:space="preserve"> lzwp * wfzs</f>
        <v>58</v>
      </c>
      <c r="C621" s="1"/>
    </row>
    <row r="622" spans="1:3" ht="17" x14ac:dyDescent="0.25">
      <c r="A622" s="3" t="s">
        <v>1062</v>
      </c>
      <c r="B622" s="3">
        <f>7</f>
        <v>7</v>
      </c>
      <c r="C622" s="1"/>
    </row>
    <row r="623" spans="1:3" ht="17" x14ac:dyDescent="0.25">
      <c r="A623" s="3" t="s">
        <v>1063</v>
      </c>
      <c r="B623" s="3">
        <f>2</f>
        <v>2</v>
      </c>
      <c r="C623" s="1"/>
    </row>
    <row r="624" spans="1:3" ht="17" x14ac:dyDescent="0.25">
      <c r="A624" s="3" t="s">
        <v>1064</v>
      </c>
      <c r="B624" s="3">
        <f xml:space="preserve"> hrpz / lncq</f>
        <v>13</v>
      </c>
      <c r="C624" s="1"/>
    </row>
    <row r="625" spans="1:3" ht="17" x14ac:dyDescent="0.25">
      <c r="A625" s="3" t="s">
        <v>1066</v>
      </c>
      <c r="B625" s="3">
        <f xml:space="preserve"> nnvt * pjdp</f>
        <v>94</v>
      </c>
      <c r="C625" s="1"/>
    </row>
    <row r="626" spans="1:3" ht="17" x14ac:dyDescent="0.25">
      <c r="A626" s="3" t="s">
        <v>530</v>
      </c>
      <c r="B626" s="3">
        <f>2</f>
        <v>2</v>
      </c>
      <c r="C626" s="1"/>
    </row>
    <row r="627" spans="1:3" ht="17" x14ac:dyDescent="0.25">
      <c r="A627" s="3" t="s">
        <v>1069</v>
      </c>
      <c r="B627" s="3">
        <f>7</f>
        <v>7</v>
      </c>
      <c r="C627" s="1"/>
    </row>
    <row r="628" spans="1:3" ht="17" x14ac:dyDescent="0.25">
      <c r="A628" s="3" t="s">
        <v>1070</v>
      </c>
      <c r="B628" s="3">
        <f xml:space="preserve"> jhcr * rmrr</f>
        <v>76</v>
      </c>
      <c r="C628" s="1"/>
    </row>
    <row r="629" spans="1:3" ht="17" x14ac:dyDescent="0.25">
      <c r="A629" s="3" t="s">
        <v>1073</v>
      </c>
      <c r="B629" s="3">
        <f>4</f>
        <v>4</v>
      </c>
      <c r="C629" s="1"/>
    </row>
    <row r="630" spans="1:3" ht="17" x14ac:dyDescent="0.25">
      <c r="A630" s="3" t="s">
        <v>1057</v>
      </c>
      <c r="B630" s="3">
        <f>2</f>
        <v>2</v>
      </c>
      <c r="C630" s="1"/>
    </row>
    <row r="631" spans="1:3" ht="17" x14ac:dyDescent="0.25">
      <c r="A631" s="3" t="s">
        <v>213</v>
      </c>
      <c r="B631" s="3">
        <f>8</f>
        <v>8</v>
      </c>
      <c r="C631" s="1"/>
    </row>
    <row r="632" spans="1:3" ht="17" x14ac:dyDescent="0.25">
      <c r="A632" s="3" t="s">
        <v>1074</v>
      </c>
      <c r="B632" s="3">
        <f>14</f>
        <v>14</v>
      </c>
      <c r="C632" s="1"/>
    </row>
    <row r="633" spans="1:3" ht="17" x14ac:dyDescent="0.25">
      <c r="A633" s="3" t="s">
        <v>1075</v>
      </c>
      <c r="B633" s="3">
        <f xml:space="preserve"> hlmj + svww</f>
        <v>23</v>
      </c>
      <c r="C633" s="1"/>
    </row>
    <row r="634" spans="1:3" ht="17" x14ac:dyDescent="0.25">
      <c r="A634" s="3" t="s">
        <v>1078</v>
      </c>
      <c r="B634" s="3">
        <f>3</f>
        <v>3</v>
      </c>
      <c r="C634" s="1"/>
    </row>
    <row r="635" spans="1:3" ht="17" x14ac:dyDescent="0.25">
      <c r="A635" s="3" t="s">
        <v>1079</v>
      </c>
      <c r="B635" s="3">
        <f xml:space="preserve"> dzvq + sstq</f>
        <v>13</v>
      </c>
      <c r="C635" s="1"/>
    </row>
    <row r="636" spans="1:3" ht="17" x14ac:dyDescent="0.25">
      <c r="A636" s="3" t="s">
        <v>1081</v>
      </c>
      <c r="B636" s="3">
        <f xml:space="preserve"> tztr - npff</f>
        <v>17</v>
      </c>
      <c r="C636" s="1"/>
    </row>
    <row r="637" spans="1:3" ht="17" x14ac:dyDescent="0.25">
      <c r="A637" s="3" t="s">
        <v>1084</v>
      </c>
      <c r="B637" s="3">
        <f xml:space="preserve"> hhmq / lzqm</f>
        <v>11</v>
      </c>
      <c r="C637" s="1"/>
    </row>
    <row r="638" spans="1:3" ht="17" x14ac:dyDescent="0.25">
      <c r="A638" s="3" t="s">
        <v>1087</v>
      </c>
      <c r="B638" s="3">
        <f>10</f>
        <v>10</v>
      </c>
      <c r="C638" s="1"/>
    </row>
    <row r="639" spans="1:3" ht="17" x14ac:dyDescent="0.25">
      <c r="A639" s="3" t="s">
        <v>1088</v>
      </c>
      <c r="B639" s="3">
        <f xml:space="preserve"> qcjg * jwhr</f>
        <v>42</v>
      </c>
      <c r="C639" s="1"/>
    </row>
    <row r="640" spans="1:3" ht="17" x14ac:dyDescent="0.25">
      <c r="A640" s="3" t="s">
        <v>1091</v>
      </c>
      <c r="B640" s="3">
        <f>3</f>
        <v>3</v>
      </c>
      <c r="C640" s="1"/>
    </row>
    <row r="641" spans="1:3" ht="17" x14ac:dyDescent="0.25">
      <c r="A641" s="3" t="s">
        <v>424</v>
      </c>
      <c r="B641" s="3">
        <f>11</f>
        <v>11</v>
      </c>
      <c r="C641" s="1"/>
    </row>
    <row r="642" spans="1:3" ht="17" x14ac:dyDescent="0.25">
      <c r="A642" s="3" t="s">
        <v>1092</v>
      </c>
      <c r="B642" s="3">
        <f xml:space="preserve"> zqzr * mfgw</f>
        <v>14</v>
      </c>
      <c r="C642" s="1"/>
    </row>
    <row r="643" spans="1:3" ht="17" x14ac:dyDescent="0.25">
      <c r="A643" s="3" t="s">
        <v>1095</v>
      </c>
      <c r="B643" s="3">
        <f>4</f>
        <v>4</v>
      </c>
      <c r="C643" s="1"/>
    </row>
    <row r="644" spans="1:3" ht="17" x14ac:dyDescent="0.25">
      <c r="A644" s="3" t="s">
        <v>777</v>
      </c>
      <c r="B644" s="3">
        <f>5</f>
        <v>5</v>
      </c>
      <c r="C644" s="1"/>
    </row>
    <row r="645" spans="1:3" ht="17" x14ac:dyDescent="0.25">
      <c r="A645" s="3" t="s">
        <v>969</v>
      </c>
      <c r="B645" s="3">
        <f>2</f>
        <v>2</v>
      </c>
      <c r="C645" s="1"/>
    </row>
    <row r="646" spans="1:3" ht="17" x14ac:dyDescent="0.25">
      <c r="A646" s="3" t="s">
        <v>1096</v>
      </c>
      <c r="B646" s="3">
        <f xml:space="preserve"> nsbz * vtqd</f>
        <v>10</v>
      </c>
      <c r="C646" s="1"/>
    </row>
    <row r="647" spans="1:3" ht="17" x14ac:dyDescent="0.25">
      <c r="A647" s="3" t="s">
        <v>785</v>
      </c>
      <c r="B647" s="3">
        <f xml:space="preserve"> jhhj + qvsc</f>
        <v>34</v>
      </c>
      <c r="C647" s="1"/>
    </row>
    <row r="648" spans="1:3" ht="17" x14ac:dyDescent="0.25">
      <c r="A648" s="3" t="s">
        <v>1099</v>
      </c>
      <c r="B648" s="3">
        <f xml:space="preserve"> tdhr + hzpt</f>
        <v>19</v>
      </c>
      <c r="C648" s="1"/>
    </row>
    <row r="649" spans="1:3" ht="17" x14ac:dyDescent="0.25">
      <c r="A649" s="3" t="s">
        <v>1100</v>
      </c>
      <c r="B649" s="3">
        <f>2</f>
        <v>2</v>
      </c>
      <c r="C649" s="1"/>
    </row>
    <row r="650" spans="1:3" ht="17" x14ac:dyDescent="0.25">
      <c r="A650" s="3" t="s">
        <v>1101</v>
      </c>
      <c r="B650" s="3">
        <f>16</f>
        <v>16</v>
      </c>
      <c r="C650" s="1"/>
    </row>
    <row r="651" spans="1:3" ht="17" x14ac:dyDescent="0.25">
      <c r="A651" s="3" t="s">
        <v>1102</v>
      </c>
      <c r="B651" s="3">
        <f>4</f>
        <v>4</v>
      </c>
      <c r="C651" s="1"/>
    </row>
    <row r="652" spans="1:3" ht="17" x14ac:dyDescent="0.25">
      <c r="A652" s="3" t="s">
        <v>1103</v>
      </c>
      <c r="B652" s="3">
        <f>2</f>
        <v>2</v>
      </c>
      <c r="C652" s="1"/>
    </row>
    <row r="653" spans="1:3" ht="17" x14ac:dyDescent="0.25">
      <c r="A653" s="3" t="s">
        <v>936</v>
      </c>
      <c r="B653" s="3">
        <f xml:space="preserve"> vvnh + rnsd</f>
        <v>7</v>
      </c>
      <c r="C653" s="1"/>
    </row>
    <row r="654" spans="1:3" ht="17" x14ac:dyDescent="0.25">
      <c r="A654" s="3" t="s">
        <v>384</v>
      </c>
      <c r="B654" s="3">
        <f>2</f>
        <v>2</v>
      </c>
      <c r="C654" s="1"/>
    </row>
    <row r="655" spans="1:3" ht="17" x14ac:dyDescent="0.25">
      <c r="A655" s="3" t="s">
        <v>1106</v>
      </c>
      <c r="B655" s="3">
        <f>3</f>
        <v>3</v>
      </c>
      <c r="C655" s="1"/>
    </row>
    <row r="656" spans="1:3" ht="17" x14ac:dyDescent="0.25">
      <c r="A656" s="3" t="s">
        <v>154</v>
      </c>
      <c r="B656" s="3">
        <f xml:space="preserve"> ntfw + gbvr</f>
        <v>13</v>
      </c>
      <c r="C656" s="1"/>
    </row>
    <row r="657" spans="1:3" ht="17" x14ac:dyDescent="0.25">
      <c r="A657" s="3" t="s">
        <v>1109</v>
      </c>
      <c r="B657" s="3">
        <f xml:space="preserve"> wjcr / wgvm</f>
        <v>4049</v>
      </c>
      <c r="C657" s="1"/>
    </row>
    <row r="658" spans="1:3" ht="17" x14ac:dyDescent="0.25">
      <c r="A658" s="3" t="s">
        <v>1111</v>
      </c>
      <c r="B658" s="3">
        <f>3</f>
        <v>3</v>
      </c>
      <c r="C658" s="1"/>
    </row>
    <row r="659" spans="1:3" ht="17" x14ac:dyDescent="0.25">
      <c r="A659" s="3" t="s">
        <v>900</v>
      </c>
      <c r="B659" s="3">
        <f>2</f>
        <v>2</v>
      </c>
      <c r="C659" s="1"/>
    </row>
    <row r="660" spans="1:3" ht="17" x14ac:dyDescent="0.25">
      <c r="A660" s="3" t="s">
        <v>1049</v>
      </c>
      <c r="B660" s="3">
        <f>5</f>
        <v>5</v>
      </c>
      <c r="C660" s="1"/>
    </row>
    <row r="661" spans="1:3" ht="17" x14ac:dyDescent="0.25">
      <c r="A661" s="3" t="s">
        <v>1107</v>
      </c>
      <c r="B661" s="3">
        <f>4</f>
        <v>4</v>
      </c>
      <c r="C661" s="1"/>
    </row>
    <row r="662" spans="1:3" ht="17" x14ac:dyDescent="0.25">
      <c r="A662" s="3" t="s">
        <v>825</v>
      </c>
      <c r="B662" s="3">
        <f xml:space="preserve"> qqqp * bvzn</f>
        <v>54</v>
      </c>
      <c r="C662" s="1"/>
    </row>
    <row r="663" spans="1:3" ht="17" x14ac:dyDescent="0.25">
      <c r="A663" s="3" t="s">
        <v>1114</v>
      </c>
      <c r="B663" s="3">
        <f>1</f>
        <v>1</v>
      </c>
      <c r="C663" s="1"/>
    </row>
    <row r="664" spans="1:3" ht="17" x14ac:dyDescent="0.25">
      <c r="A664" s="3" t="s">
        <v>1115</v>
      </c>
      <c r="B664" s="3">
        <f>11</f>
        <v>11</v>
      </c>
      <c r="C664" s="1"/>
    </row>
    <row r="665" spans="1:3" ht="17" x14ac:dyDescent="0.25">
      <c r="A665" s="3" t="s">
        <v>1116</v>
      </c>
      <c r="B665" s="3">
        <f>2</f>
        <v>2</v>
      </c>
      <c r="C665" s="1"/>
    </row>
    <row r="666" spans="1:3" ht="17" x14ac:dyDescent="0.25">
      <c r="A666" s="3" t="s">
        <v>1117</v>
      </c>
      <c r="B666" s="3">
        <f xml:space="preserve"> jhmj * vdtj</f>
        <v>20</v>
      </c>
      <c r="C666" s="1"/>
    </row>
    <row r="667" spans="1:3" ht="17" x14ac:dyDescent="0.25">
      <c r="A667" s="3" t="s">
        <v>1120</v>
      </c>
      <c r="B667" s="3">
        <f xml:space="preserve"> jcvd - tppz</f>
        <v>15</v>
      </c>
      <c r="C667" s="1"/>
    </row>
    <row r="668" spans="1:3" ht="17" x14ac:dyDescent="0.25">
      <c r="A668" s="3" t="s">
        <v>325</v>
      </c>
      <c r="B668" s="3">
        <f>10</f>
        <v>10</v>
      </c>
      <c r="C668" s="1"/>
    </row>
    <row r="669" spans="1:3" ht="17" x14ac:dyDescent="0.25">
      <c r="A669" s="3" t="s">
        <v>1123</v>
      </c>
      <c r="B669" s="3">
        <f>3</f>
        <v>3</v>
      </c>
      <c r="C669" s="1"/>
    </row>
    <row r="670" spans="1:3" ht="17" x14ac:dyDescent="0.25">
      <c r="A670" s="3" t="s">
        <v>1124</v>
      </c>
      <c r="B670" s="3">
        <f xml:space="preserve"> hfjm * tfdv</f>
        <v>34</v>
      </c>
      <c r="C670" s="1"/>
    </row>
    <row r="671" spans="1:3" ht="17" x14ac:dyDescent="0.25">
      <c r="A671" s="3" t="s">
        <v>1127</v>
      </c>
      <c r="B671" s="3">
        <f xml:space="preserve"> srbj * zjdm</f>
        <v>8</v>
      </c>
      <c r="C671" s="1"/>
    </row>
    <row r="672" spans="1:3" ht="17" x14ac:dyDescent="0.25">
      <c r="A672" s="3" t="s">
        <v>1130</v>
      </c>
      <c r="B672" s="3">
        <f xml:space="preserve"> vggh * njpf</f>
        <v>30</v>
      </c>
      <c r="C672" s="1"/>
    </row>
    <row r="673" spans="1:3" ht="17" x14ac:dyDescent="0.25">
      <c r="A673" s="3" t="s">
        <v>1132</v>
      </c>
      <c r="B673" s="3">
        <f xml:space="preserve"> stcd + jbhb</f>
        <v>43</v>
      </c>
      <c r="C673" s="1"/>
    </row>
    <row r="674" spans="1:3" ht="17" x14ac:dyDescent="0.25">
      <c r="A674" s="3" t="s">
        <v>1134</v>
      </c>
      <c r="B674" s="3">
        <f xml:space="preserve"> jmrf * nwmh</f>
        <v>39</v>
      </c>
      <c r="C674" s="1"/>
    </row>
    <row r="675" spans="1:3" ht="17" x14ac:dyDescent="0.25">
      <c r="A675" s="3" t="s">
        <v>1137</v>
      </c>
      <c r="B675" s="3">
        <f xml:space="preserve"> zmrg + fhpt</f>
        <v>68173534673324</v>
      </c>
      <c r="C675" s="1"/>
    </row>
    <row r="676" spans="1:3" ht="17" x14ac:dyDescent="0.25">
      <c r="A676" s="3" t="s">
        <v>1139</v>
      </c>
      <c r="B676" s="3">
        <f xml:space="preserve"> cnrj * gsfj</f>
        <v>596</v>
      </c>
      <c r="C676" s="1"/>
    </row>
    <row r="677" spans="1:3" ht="17" x14ac:dyDescent="0.25">
      <c r="A677" s="3" t="s">
        <v>759</v>
      </c>
      <c r="B677" s="3">
        <f xml:space="preserve"> gfvd - dphc</f>
        <v>23</v>
      </c>
      <c r="C677" s="1"/>
    </row>
    <row r="678" spans="1:3" ht="17" x14ac:dyDescent="0.25">
      <c r="A678" s="3" t="s">
        <v>1142</v>
      </c>
      <c r="B678" s="3">
        <f xml:space="preserve"> mzfw + bclv</f>
        <v>47</v>
      </c>
      <c r="C678" s="1"/>
    </row>
    <row r="679" spans="1:3" ht="17" x14ac:dyDescent="0.25">
      <c r="A679" s="3" t="s">
        <v>1145</v>
      </c>
      <c r="B679" s="3">
        <f xml:space="preserve"> lqwt + frjt</f>
        <v>495</v>
      </c>
      <c r="C679" s="1"/>
    </row>
    <row r="680" spans="1:3" ht="17" x14ac:dyDescent="0.25">
      <c r="A680" s="3" t="s">
        <v>1013</v>
      </c>
      <c r="B680" s="3">
        <f xml:space="preserve"> qwpg * bvgd</f>
        <v>2110</v>
      </c>
      <c r="C680" s="1"/>
    </row>
    <row r="681" spans="1:3" ht="17" x14ac:dyDescent="0.25">
      <c r="A681" s="3" t="s">
        <v>1150</v>
      </c>
      <c r="B681" s="3">
        <f xml:space="preserve"> nmpz / cmrm</f>
        <v>6</v>
      </c>
      <c r="C681" s="1"/>
    </row>
    <row r="682" spans="1:3" ht="17" x14ac:dyDescent="0.25">
      <c r="A682" s="3" t="s">
        <v>744</v>
      </c>
      <c r="B682" s="3">
        <f>5</f>
        <v>5</v>
      </c>
      <c r="C682" s="1"/>
    </row>
    <row r="683" spans="1:3" ht="17" x14ac:dyDescent="0.25">
      <c r="A683" s="3" t="s">
        <v>600</v>
      </c>
      <c r="B683" s="3">
        <f xml:space="preserve"> prpz + sjch</f>
        <v>41</v>
      </c>
      <c r="C683" s="1"/>
    </row>
    <row r="684" spans="1:3" ht="17" x14ac:dyDescent="0.25">
      <c r="A684" s="3" t="s">
        <v>1154</v>
      </c>
      <c r="B684" s="3">
        <f xml:space="preserve"> zlpr * jsqp</f>
        <v>24</v>
      </c>
      <c r="C684" s="1"/>
    </row>
    <row r="685" spans="1:3" ht="17" x14ac:dyDescent="0.25">
      <c r="A685" s="3" t="s">
        <v>1156</v>
      </c>
      <c r="B685" s="3">
        <f xml:space="preserve"> lsvd + tgsp</f>
        <v>7</v>
      </c>
      <c r="C685" s="1"/>
    </row>
    <row r="686" spans="1:3" ht="17" x14ac:dyDescent="0.25">
      <c r="A686" s="3" t="s">
        <v>1158</v>
      </c>
      <c r="B686" s="3">
        <f>7</f>
        <v>7</v>
      </c>
      <c r="C686" s="1"/>
    </row>
    <row r="687" spans="1:3" ht="17" x14ac:dyDescent="0.25">
      <c r="A687" s="3" t="s">
        <v>1159</v>
      </c>
      <c r="B687" s="3">
        <f>7</f>
        <v>7</v>
      </c>
      <c r="C687" s="1"/>
    </row>
    <row r="688" spans="1:3" ht="17" x14ac:dyDescent="0.25">
      <c r="A688" s="3" t="s">
        <v>1160</v>
      </c>
      <c r="B688" s="3">
        <f xml:space="preserve"> wnzg * tbwj</f>
        <v>58</v>
      </c>
      <c r="C688" s="1"/>
    </row>
    <row r="689" spans="1:3" ht="17" x14ac:dyDescent="0.25">
      <c r="A689" s="3" t="s">
        <v>1162</v>
      </c>
      <c r="B689" s="3">
        <f xml:space="preserve"> mhgb / hrmd</f>
        <v>7</v>
      </c>
      <c r="C689" s="1"/>
    </row>
    <row r="690" spans="1:3" ht="17" x14ac:dyDescent="0.25">
      <c r="A690" s="3" t="s">
        <v>1165</v>
      </c>
      <c r="B690" s="3">
        <f xml:space="preserve"> lzzq * bswm</f>
        <v>100</v>
      </c>
      <c r="C690" s="1"/>
    </row>
    <row r="691" spans="1:3" ht="17" x14ac:dyDescent="0.25">
      <c r="A691" s="3" t="s">
        <v>1167</v>
      </c>
      <c r="B691" s="3">
        <f xml:space="preserve"> rjhw * szdf</f>
        <v>629</v>
      </c>
      <c r="C691" s="1"/>
    </row>
    <row r="692" spans="1:3" ht="17" x14ac:dyDescent="0.25">
      <c r="A692" s="3" t="s">
        <v>1169</v>
      </c>
      <c r="B692" s="3">
        <f>6</f>
        <v>6</v>
      </c>
      <c r="C692" s="1"/>
    </row>
    <row r="693" spans="1:3" ht="17" x14ac:dyDescent="0.25">
      <c r="A693" s="3" t="s">
        <v>1170</v>
      </c>
      <c r="B693" s="3">
        <f xml:space="preserve"> mdrc + sbfh</f>
        <v>77</v>
      </c>
      <c r="C693" s="1"/>
    </row>
    <row r="694" spans="1:3" ht="17" x14ac:dyDescent="0.25">
      <c r="A694" s="3" t="s">
        <v>1173</v>
      </c>
      <c r="B694" s="3">
        <f xml:space="preserve"> cjpp + hzcg</f>
        <v>102260301999005</v>
      </c>
      <c r="C694" s="1"/>
    </row>
    <row r="695" spans="1:3" ht="17" x14ac:dyDescent="0.25">
      <c r="A695" s="3" t="s">
        <v>1176</v>
      </c>
      <c r="B695" s="3">
        <f>3</f>
        <v>3</v>
      </c>
      <c r="C695" s="1"/>
    </row>
    <row r="696" spans="1:3" ht="17" x14ac:dyDescent="0.25">
      <c r="A696" s="3" t="s">
        <v>1177</v>
      </c>
      <c r="B696" s="3">
        <f>7</f>
        <v>7</v>
      </c>
      <c r="C696" s="1"/>
    </row>
    <row r="697" spans="1:3" ht="17" x14ac:dyDescent="0.25">
      <c r="A697" s="3" t="s">
        <v>1178</v>
      </c>
      <c r="B697" s="3">
        <f>11</f>
        <v>11</v>
      </c>
      <c r="C697" s="1"/>
    </row>
    <row r="698" spans="1:3" ht="17" x14ac:dyDescent="0.25">
      <c r="A698" s="3" t="s">
        <v>1179</v>
      </c>
      <c r="B698" s="3">
        <f xml:space="preserve"> nlrq * cbrp</f>
        <v>279</v>
      </c>
      <c r="C698" s="1"/>
    </row>
    <row r="699" spans="1:3" ht="17" x14ac:dyDescent="0.25">
      <c r="A699" s="3" t="s">
        <v>1182</v>
      </c>
      <c r="B699" s="3">
        <f xml:space="preserve"> tnhm * hbtr</f>
        <v>38</v>
      </c>
      <c r="C699" s="1"/>
    </row>
    <row r="700" spans="1:3" ht="17" x14ac:dyDescent="0.25">
      <c r="A700" s="3" t="s">
        <v>1183</v>
      </c>
      <c r="B700" s="3">
        <f>5</f>
        <v>5</v>
      </c>
      <c r="C700" s="1"/>
    </row>
    <row r="701" spans="1:3" ht="17" x14ac:dyDescent="0.25">
      <c r="A701" s="3" t="s">
        <v>1184</v>
      </c>
      <c r="B701" s="3">
        <f>3</f>
        <v>3</v>
      </c>
      <c r="C701" s="1"/>
    </row>
    <row r="702" spans="1:3" ht="17" x14ac:dyDescent="0.25">
      <c r="A702" s="3" t="s">
        <v>1185</v>
      </c>
      <c r="B702" s="3">
        <f xml:space="preserve"> hhwh + rpql</f>
        <v>31543</v>
      </c>
      <c r="C702" s="1"/>
    </row>
    <row r="703" spans="1:3" ht="17" x14ac:dyDescent="0.25">
      <c r="A703" s="3" t="s">
        <v>1188</v>
      </c>
      <c r="B703" s="3">
        <f>3</f>
        <v>3</v>
      </c>
      <c r="C703" s="1"/>
    </row>
    <row r="704" spans="1:3" ht="17" x14ac:dyDescent="0.25">
      <c r="A704" s="3" t="s">
        <v>1189</v>
      </c>
      <c r="B704" s="3">
        <f>8</f>
        <v>8</v>
      </c>
      <c r="C704" s="1"/>
    </row>
    <row r="705" spans="1:3" ht="17" x14ac:dyDescent="0.25">
      <c r="A705" s="3" t="s">
        <v>1190</v>
      </c>
      <c r="B705" s="3">
        <f>19</f>
        <v>19</v>
      </c>
      <c r="C705" s="1"/>
    </row>
    <row r="706" spans="1:3" ht="17" x14ac:dyDescent="0.25">
      <c r="A706" s="3" t="s">
        <v>1191</v>
      </c>
      <c r="B706" s="3">
        <f>7</f>
        <v>7</v>
      </c>
      <c r="C706" s="1"/>
    </row>
    <row r="707" spans="1:3" ht="17" x14ac:dyDescent="0.25">
      <c r="A707" s="3" t="s">
        <v>108</v>
      </c>
      <c r="B707" s="3">
        <f xml:space="preserve"> ssnq * rbvm</f>
        <v>2368</v>
      </c>
      <c r="C707" s="1"/>
    </row>
    <row r="708" spans="1:3" ht="17" x14ac:dyDescent="0.25">
      <c r="A708" s="3" t="s">
        <v>1193</v>
      </c>
      <c r="B708" s="3">
        <f>3</f>
        <v>3</v>
      </c>
      <c r="C708" s="1"/>
    </row>
    <row r="709" spans="1:3" ht="17" x14ac:dyDescent="0.25">
      <c r="A709" s="3" t="s">
        <v>1149</v>
      </c>
      <c r="B709" s="3">
        <f xml:space="preserve"> wdrq * vrtr</f>
        <v>422</v>
      </c>
      <c r="C709" s="1"/>
    </row>
    <row r="710" spans="1:3" ht="17" x14ac:dyDescent="0.25">
      <c r="A710" s="3" t="s">
        <v>70</v>
      </c>
      <c r="B710" s="3">
        <f>1</f>
        <v>1</v>
      </c>
      <c r="C710" s="1"/>
    </row>
    <row r="711" spans="1:3" ht="17" x14ac:dyDescent="0.25">
      <c r="A711" s="3" t="s">
        <v>1196</v>
      </c>
      <c r="B711" s="3">
        <f>3</f>
        <v>3</v>
      </c>
      <c r="C711" s="1"/>
    </row>
    <row r="712" spans="1:3" ht="17" x14ac:dyDescent="0.25">
      <c r="A712" s="3" t="s">
        <v>1197</v>
      </c>
      <c r="B712" s="3">
        <f>2</f>
        <v>2</v>
      </c>
      <c r="C712" s="1"/>
    </row>
    <row r="713" spans="1:3" ht="17" x14ac:dyDescent="0.25">
      <c r="A713" s="3" t="s">
        <v>1198</v>
      </c>
      <c r="B713" s="3">
        <f xml:space="preserve"> tlwm / pczj</f>
        <v>27</v>
      </c>
      <c r="C713" s="1"/>
    </row>
    <row r="714" spans="1:3" ht="17" x14ac:dyDescent="0.25">
      <c r="A714" s="3" t="s">
        <v>1200</v>
      </c>
      <c r="B714" s="3">
        <f xml:space="preserve"> rwwc + llmq</f>
        <v>131</v>
      </c>
      <c r="C714" s="1"/>
    </row>
    <row r="715" spans="1:3" ht="17" x14ac:dyDescent="0.25">
      <c r="A715" s="3" t="s">
        <v>1203</v>
      </c>
      <c r="B715" s="3">
        <f>4</f>
        <v>4</v>
      </c>
      <c r="C715" s="1"/>
    </row>
    <row r="716" spans="1:3" ht="17" x14ac:dyDescent="0.25">
      <c r="A716" s="3" t="s">
        <v>245</v>
      </c>
      <c r="B716" s="3">
        <f xml:space="preserve"> tchr + dwsw</f>
        <v>81156739</v>
      </c>
      <c r="C716" s="1"/>
    </row>
    <row r="717" spans="1:3" ht="17" x14ac:dyDescent="0.25">
      <c r="A717" s="3" t="s">
        <v>1206</v>
      </c>
      <c r="B717" s="3">
        <f>4</f>
        <v>4</v>
      </c>
      <c r="C717" s="1"/>
    </row>
    <row r="718" spans="1:3" ht="17" x14ac:dyDescent="0.25">
      <c r="A718" s="3" t="s">
        <v>1207</v>
      </c>
      <c r="B718" s="3">
        <f xml:space="preserve"> bvst * gjdq</f>
        <v>495</v>
      </c>
      <c r="C718" s="1"/>
    </row>
    <row r="719" spans="1:3" ht="17" x14ac:dyDescent="0.25">
      <c r="A719" s="3" t="s">
        <v>1209</v>
      </c>
      <c r="B719" s="3">
        <f>9</f>
        <v>9</v>
      </c>
      <c r="C719" s="1"/>
    </row>
    <row r="720" spans="1:3" ht="17" x14ac:dyDescent="0.25">
      <c r="A720" s="3" t="s">
        <v>142</v>
      </c>
      <c r="B720" s="3">
        <f>7</f>
        <v>7</v>
      </c>
      <c r="C720" s="1"/>
    </row>
    <row r="721" spans="1:3" ht="17" x14ac:dyDescent="0.25">
      <c r="A721" s="3" t="s">
        <v>239</v>
      </c>
      <c r="B721" s="3">
        <f xml:space="preserve"> czbj * zcvz</f>
        <v>16</v>
      </c>
      <c r="C721" s="1"/>
    </row>
    <row r="722" spans="1:3" ht="17" x14ac:dyDescent="0.25">
      <c r="A722" s="3" t="s">
        <v>1212</v>
      </c>
      <c r="B722" s="3">
        <f xml:space="preserve"> hcbm * zbmw</f>
        <v>456</v>
      </c>
      <c r="C722" s="1"/>
    </row>
    <row r="723" spans="1:3" ht="17" x14ac:dyDescent="0.25">
      <c r="A723" s="3" t="s">
        <v>1215</v>
      </c>
      <c r="B723" s="3">
        <f>10</f>
        <v>10</v>
      </c>
      <c r="C723" s="1"/>
    </row>
    <row r="724" spans="1:3" ht="17" x14ac:dyDescent="0.25">
      <c r="A724" s="3" t="s">
        <v>1216</v>
      </c>
      <c r="B724" s="3">
        <f>5</f>
        <v>5</v>
      </c>
      <c r="C724" s="1"/>
    </row>
    <row r="725" spans="1:3" ht="17" x14ac:dyDescent="0.25">
      <c r="A725" s="3" t="s">
        <v>1217</v>
      </c>
      <c r="B725" s="3">
        <f xml:space="preserve"> vrwm + nfjp</f>
        <v>19</v>
      </c>
      <c r="C725" s="1"/>
    </row>
    <row r="726" spans="1:3" ht="17" x14ac:dyDescent="0.25">
      <c r="A726" s="3" t="s">
        <v>1220</v>
      </c>
      <c r="B726" s="3">
        <f xml:space="preserve"> lzdp + zctw</f>
        <v>59</v>
      </c>
      <c r="C726" s="1"/>
    </row>
    <row r="727" spans="1:3" ht="17" x14ac:dyDescent="0.25">
      <c r="A727" s="3" t="s">
        <v>1223</v>
      </c>
      <c r="B727" s="3">
        <f>3</f>
        <v>3</v>
      </c>
      <c r="C727" s="1"/>
    </row>
    <row r="728" spans="1:3" ht="17" x14ac:dyDescent="0.25">
      <c r="A728" s="3" t="s">
        <v>1224</v>
      </c>
      <c r="B728" s="3">
        <f xml:space="preserve"> gvcr + rjwd</f>
        <v>7</v>
      </c>
      <c r="C728" s="1"/>
    </row>
    <row r="729" spans="1:3" ht="17" x14ac:dyDescent="0.25">
      <c r="A729" s="3" t="s">
        <v>1225</v>
      </c>
      <c r="B729" s="3">
        <f>13</f>
        <v>13</v>
      </c>
      <c r="C729" s="1"/>
    </row>
    <row r="730" spans="1:3" ht="17" x14ac:dyDescent="0.25">
      <c r="A730" s="3" t="s">
        <v>1226</v>
      </c>
      <c r="B730" s="3">
        <f>4</f>
        <v>4</v>
      </c>
      <c r="C730" s="1"/>
    </row>
    <row r="731" spans="1:3" ht="17" x14ac:dyDescent="0.25">
      <c r="A731" s="3" t="s">
        <v>1227</v>
      </c>
      <c r="B731" s="3">
        <f>3</f>
        <v>3</v>
      </c>
      <c r="C731" s="1"/>
    </row>
    <row r="732" spans="1:3" ht="17" x14ac:dyDescent="0.25">
      <c r="A732" s="3" t="s">
        <v>1228</v>
      </c>
      <c r="B732" s="3">
        <f>4</f>
        <v>4</v>
      </c>
      <c r="C732" s="1"/>
    </row>
    <row r="733" spans="1:3" ht="17" x14ac:dyDescent="0.25">
      <c r="A733" s="3" t="s">
        <v>851</v>
      </c>
      <c r="B733" s="3">
        <f xml:space="preserve"> wrdh * gdzh</f>
        <v>21</v>
      </c>
      <c r="C733" s="1"/>
    </row>
    <row r="734" spans="1:3" ht="17" x14ac:dyDescent="0.25">
      <c r="A734" s="3" t="s">
        <v>1230</v>
      </c>
      <c r="B734" s="3">
        <f>11</f>
        <v>11</v>
      </c>
      <c r="C734" s="1"/>
    </row>
    <row r="735" spans="1:3" ht="17" x14ac:dyDescent="0.25">
      <c r="A735" s="3" t="s">
        <v>537</v>
      </c>
      <c r="B735" s="3">
        <f>12</f>
        <v>12</v>
      </c>
      <c r="C735" s="1"/>
    </row>
    <row r="736" spans="1:3" ht="17" x14ac:dyDescent="0.25">
      <c r="A736" s="3" t="s">
        <v>1231</v>
      </c>
      <c r="B736" s="3">
        <f xml:space="preserve"> gdnl * jtph</f>
        <v>396</v>
      </c>
      <c r="C736" s="1"/>
    </row>
    <row r="737" spans="1:3" ht="17" x14ac:dyDescent="0.25">
      <c r="A737" s="3" t="s">
        <v>1195</v>
      </c>
      <c r="B737" s="3">
        <f>2</f>
        <v>2</v>
      </c>
      <c r="C737" s="1"/>
    </row>
    <row r="738" spans="1:3" ht="17" x14ac:dyDescent="0.25">
      <c r="A738" s="3" t="s">
        <v>1234</v>
      </c>
      <c r="B738" s="3">
        <f>5</f>
        <v>5</v>
      </c>
      <c r="C738" s="1"/>
    </row>
    <row r="739" spans="1:3" ht="17" x14ac:dyDescent="0.25">
      <c r="A739" s="3" t="s">
        <v>1235</v>
      </c>
      <c r="B739" s="3">
        <f xml:space="preserve"> tqtg * mdqc</f>
        <v>1205308</v>
      </c>
      <c r="C739" s="1"/>
    </row>
    <row r="740" spans="1:3" ht="17" x14ac:dyDescent="0.25">
      <c r="A740" s="3" t="s">
        <v>294</v>
      </c>
      <c r="B740" s="3">
        <f>9</f>
        <v>9</v>
      </c>
      <c r="C740" s="1"/>
    </row>
    <row r="741" spans="1:3" ht="17" x14ac:dyDescent="0.25">
      <c r="A741" s="3" t="s">
        <v>1238</v>
      </c>
      <c r="B741" s="3">
        <f>3</f>
        <v>3</v>
      </c>
      <c r="C741" s="1"/>
    </row>
    <row r="742" spans="1:3" ht="17" x14ac:dyDescent="0.25">
      <c r="A742" s="3" t="s">
        <v>865</v>
      </c>
      <c r="B742" s="3">
        <f xml:space="preserve"> nmmz + pjjv</f>
        <v>6</v>
      </c>
      <c r="C742" s="1"/>
    </row>
    <row r="743" spans="1:3" ht="17" x14ac:dyDescent="0.25">
      <c r="A743" s="3" t="s">
        <v>1218</v>
      </c>
      <c r="B743" s="3">
        <f>1</f>
        <v>1</v>
      </c>
      <c r="C743" s="1"/>
    </row>
    <row r="744" spans="1:3" ht="17" x14ac:dyDescent="0.25">
      <c r="A744" s="3" t="s">
        <v>1240</v>
      </c>
      <c r="B744" s="3">
        <f xml:space="preserve"> pcvp * jsfb</f>
        <v>25</v>
      </c>
      <c r="C744" s="1"/>
    </row>
    <row r="745" spans="1:3" ht="17" x14ac:dyDescent="0.25">
      <c r="A745" s="3" t="s">
        <v>840</v>
      </c>
      <c r="B745" s="3">
        <f>15</f>
        <v>15</v>
      </c>
      <c r="C745" s="1"/>
    </row>
    <row r="746" spans="1:3" ht="17" x14ac:dyDescent="0.25">
      <c r="A746" s="3" t="s">
        <v>1243</v>
      </c>
      <c r="B746" s="3">
        <f xml:space="preserve"> szsh * prsn</f>
        <v>35</v>
      </c>
      <c r="C746" s="1"/>
    </row>
    <row r="747" spans="1:3" ht="17" x14ac:dyDescent="0.25">
      <c r="A747" s="3" t="s">
        <v>1245</v>
      </c>
      <c r="B747" s="3">
        <f xml:space="preserve"> jjbd * mmsr</f>
        <v>64</v>
      </c>
      <c r="C747" s="1"/>
    </row>
    <row r="748" spans="1:3" ht="17" x14ac:dyDescent="0.25">
      <c r="A748" s="3" t="s">
        <v>1247</v>
      </c>
      <c r="B748" s="3">
        <f xml:space="preserve"> qzmv + nshb</f>
        <v>307</v>
      </c>
      <c r="C748" s="1"/>
    </row>
    <row r="749" spans="1:3" ht="17" x14ac:dyDescent="0.25">
      <c r="A749" s="3" t="s">
        <v>1249</v>
      </c>
      <c r="B749" s="3">
        <f>4</f>
        <v>4</v>
      </c>
      <c r="C749" s="1"/>
    </row>
    <row r="750" spans="1:3" ht="17" x14ac:dyDescent="0.25">
      <c r="A750" s="3" t="s">
        <v>1250</v>
      </c>
      <c r="B750" s="3">
        <f xml:space="preserve"> jhpr + tvnp</f>
        <v>116</v>
      </c>
      <c r="C750" s="1"/>
    </row>
    <row r="751" spans="1:3" ht="17" x14ac:dyDescent="0.25">
      <c r="A751" s="3" t="s">
        <v>1253</v>
      </c>
      <c r="B751" s="3">
        <f xml:space="preserve"> hggm * cjvq</f>
        <v>14</v>
      </c>
      <c r="C751" s="1"/>
    </row>
    <row r="752" spans="1:3" ht="17" x14ac:dyDescent="0.25">
      <c r="A752" s="3" t="s">
        <v>1255</v>
      </c>
      <c r="B752" s="3">
        <f xml:space="preserve"> dtlj * mzcr</f>
        <v>27</v>
      </c>
      <c r="C752" s="1"/>
    </row>
    <row r="753" spans="1:3" ht="17" x14ac:dyDescent="0.25">
      <c r="A753" s="3" t="s">
        <v>1257</v>
      </c>
      <c r="B753" s="3">
        <f>2</f>
        <v>2</v>
      </c>
      <c r="C753" s="1"/>
    </row>
    <row r="754" spans="1:3" ht="17" x14ac:dyDescent="0.25">
      <c r="A754" s="3" t="s">
        <v>1258</v>
      </c>
      <c r="B754" s="3">
        <f xml:space="preserve"> clwf - tmsh</f>
        <v>68173534672185</v>
      </c>
      <c r="C754" s="1"/>
    </row>
    <row r="755" spans="1:3" ht="17" x14ac:dyDescent="0.25">
      <c r="A755" s="3" t="s">
        <v>1261</v>
      </c>
      <c r="B755" s="3">
        <f xml:space="preserve"> npvb * ffbt</f>
        <v>6</v>
      </c>
      <c r="C755" s="1"/>
    </row>
    <row r="756" spans="1:3" ht="17" x14ac:dyDescent="0.25">
      <c r="A756" s="3" t="s">
        <v>1264</v>
      </c>
      <c r="B756" s="3">
        <f xml:space="preserve"> pdfq * fvqt</f>
        <v>136</v>
      </c>
      <c r="C756" s="1"/>
    </row>
    <row r="757" spans="1:3" ht="17" x14ac:dyDescent="0.25">
      <c r="A757" s="3" t="s">
        <v>1267</v>
      </c>
      <c r="B757" s="3">
        <f>3</f>
        <v>3</v>
      </c>
      <c r="C757" s="1"/>
    </row>
    <row r="758" spans="1:3" ht="17" x14ac:dyDescent="0.25">
      <c r="A758" s="3" t="s">
        <v>1268</v>
      </c>
      <c r="B758" s="3">
        <f xml:space="preserve"> rznv * dzgp</f>
        <v>38</v>
      </c>
      <c r="C758" s="1"/>
    </row>
    <row r="759" spans="1:3" ht="17" x14ac:dyDescent="0.25">
      <c r="A759" s="3" t="s">
        <v>1270</v>
      </c>
      <c r="B759" s="3">
        <f xml:space="preserve"> chgv * lcwp</f>
        <v>9</v>
      </c>
      <c r="C759" s="1"/>
    </row>
    <row r="760" spans="1:3" ht="17" x14ac:dyDescent="0.25">
      <c r="A760" s="3" t="s">
        <v>1273</v>
      </c>
      <c r="B760" s="3">
        <f>1</f>
        <v>1</v>
      </c>
      <c r="C760" s="1"/>
    </row>
    <row r="761" spans="1:3" ht="17" x14ac:dyDescent="0.25">
      <c r="A761" s="3" t="s">
        <v>705</v>
      </c>
      <c r="B761" s="3">
        <f>3</f>
        <v>3</v>
      </c>
      <c r="C761" s="1"/>
    </row>
    <row r="762" spans="1:3" ht="17" x14ac:dyDescent="0.25">
      <c r="A762" s="3" t="s">
        <v>1274</v>
      </c>
      <c r="B762" s="3">
        <f>10</f>
        <v>10</v>
      </c>
      <c r="C762" s="1"/>
    </row>
    <row r="763" spans="1:3" ht="17" x14ac:dyDescent="0.25">
      <c r="A763" s="3" t="s">
        <v>175</v>
      </c>
      <c r="B763" s="3">
        <f xml:space="preserve"> dfsh * blhm</f>
        <v>9</v>
      </c>
      <c r="C763" s="1"/>
    </row>
    <row r="764" spans="1:3" ht="17" x14ac:dyDescent="0.25">
      <c r="A764" s="3" t="s">
        <v>1277</v>
      </c>
      <c r="B764" s="3">
        <f xml:space="preserve"> jcqs * npqm</f>
        <v>14</v>
      </c>
      <c r="C764" s="1"/>
    </row>
    <row r="765" spans="1:3" ht="17" x14ac:dyDescent="0.25">
      <c r="A765" s="3" t="s">
        <v>450</v>
      </c>
      <c r="B765" s="3">
        <f xml:space="preserve"> cnpl + qvzf</f>
        <v>17</v>
      </c>
      <c r="C765" s="1"/>
    </row>
    <row r="766" spans="1:3" ht="17" x14ac:dyDescent="0.25">
      <c r="A766" s="3" t="s">
        <v>1281</v>
      </c>
      <c r="B766" s="3">
        <f>7</f>
        <v>7</v>
      </c>
      <c r="C766" s="1"/>
    </row>
    <row r="767" spans="1:3" ht="17" x14ac:dyDescent="0.25">
      <c r="A767" s="3" t="s">
        <v>411</v>
      </c>
      <c r="B767" s="3">
        <f xml:space="preserve"> tldj - fjrw</f>
        <v>508</v>
      </c>
      <c r="C767" s="1"/>
    </row>
    <row r="768" spans="1:3" ht="17" x14ac:dyDescent="0.25">
      <c r="A768" s="3" t="s">
        <v>1284</v>
      </c>
      <c r="B768" s="3">
        <f>5</f>
        <v>5</v>
      </c>
      <c r="C768" s="1"/>
    </row>
    <row r="769" spans="1:3" ht="17" x14ac:dyDescent="0.25">
      <c r="A769" s="3" t="s">
        <v>1285</v>
      </c>
      <c r="B769" s="3">
        <f>4</f>
        <v>4</v>
      </c>
      <c r="C769" s="1"/>
    </row>
    <row r="770" spans="1:3" ht="17" x14ac:dyDescent="0.25">
      <c r="A770" s="3" t="s">
        <v>1280</v>
      </c>
      <c r="B770" s="3">
        <f>1</f>
        <v>1</v>
      </c>
      <c r="C770" s="1"/>
    </row>
    <row r="771" spans="1:3" ht="17" x14ac:dyDescent="0.25">
      <c r="A771" s="3" t="s">
        <v>1286</v>
      </c>
      <c r="B771" s="3">
        <f>2</f>
        <v>2</v>
      </c>
      <c r="C771" s="1"/>
    </row>
    <row r="772" spans="1:3" ht="17" x14ac:dyDescent="0.25">
      <c r="A772" s="3" t="s">
        <v>355</v>
      </c>
      <c r="B772" s="3">
        <f>19</f>
        <v>19</v>
      </c>
      <c r="C772" s="1"/>
    </row>
    <row r="773" spans="1:3" ht="17" x14ac:dyDescent="0.25">
      <c r="A773" s="3" t="s">
        <v>1287</v>
      </c>
      <c r="B773" s="3">
        <f>14</f>
        <v>14</v>
      </c>
      <c r="C773" s="1"/>
    </row>
    <row r="774" spans="1:3" ht="17" x14ac:dyDescent="0.25">
      <c r="A774" s="3" t="s">
        <v>1288</v>
      </c>
      <c r="B774" s="3">
        <f>5</f>
        <v>5</v>
      </c>
      <c r="C774" s="1"/>
    </row>
    <row r="775" spans="1:3" ht="17" x14ac:dyDescent="0.25">
      <c r="A775" s="3" t="s">
        <v>512</v>
      </c>
      <c r="B775" s="3">
        <f xml:space="preserve"> mglh * tmrv</f>
        <v>32</v>
      </c>
      <c r="C775" s="1"/>
    </row>
    <row r="776" spans="1:3" ht="17" x14ac:dyDescent="0.25">
      <c r="A776" s="3" t="s">
        <v>20</v>
      </c>
      <c r="B776" s="3">
        <f>11</f>
        <v>11</v>
      </c>
      <c r="C776" s="1"/>
    </row>
    <row r="777" spans="1:3" ht="17" x14ac:dyDescent="0.25">
      <c r="A777" s="3" t="s">
        <v>1291</v>
      </c>
      <c r="B777" s="3">
        <f xml:space="preserve"> lsmc + jssw</f>
        <v>23</v>
      </c>
      <c r="C777" s="1"/>
    </row>
    <row r="778" spans="1:3" ht="17" x14ac:dyDescent="0.25">
      <c r="A778" s="3" t="s">
        <v>1294</v>
      </c>
      <c r="B778" s="3">
        <f>7</f>
        <v>7</v>
      </c>
      <c r="C778" s="1"/>
    </row>
    <row r="779" spans="1:3" ht="17" x14ac:dyDescent="0.25">
      <c r="A779" s="3" t="s">
        <v>1295</v>
      </c>
      <c r="B779" s="3">
        <f>2</f>
        <v>2</v>
      </c>
      <c r="C779" s="1"/>
    </row>
    <row r="780" spans="1:3" ht="17" x14ac:dyDescent="0.25">
      <c r="A780" s="3" t="s">
        <v>1296</v>
      </c>
      <c r="B780" s="3">
        <f xml:space="preserve"> tpwm * zsdf</f>
        <v>445</v>
      </c>
      <c r="C780" s="1"/>
    </row>
    <row r="781" spans="1:3" ht="17" x14ac:dyDescent="0.25">
      <c r="A781" s="3" t="s">
        <v>1299</v>
      </c>
      <c r="B781" s="3">
        <f xml:space="preserve"> sscm + ltng</f>
        <v>1272</v>
      </c>
      <c r="C781" s="1"/>
    </row>
    <row r="782" spans="1:3" ht="17" x14ac:dyDescent="0.25">
      <c r="A782" s="3" t="s">
        <v>1301</v>
      </c>
      <c r="B782" s="3">
        <f xml:space="preserve"> bffv * gbnd</f>
        <v>247</v>
      </c>
      <c r="C782" s="1"/>
    </row>
    <row r="783" spans="1:3" ht="17" x14ac:dyDescent="0.25">
      <c r="A783" s="3" t="s">
        <v>1304</v>
      </c>
      <c r="B783" s="3">
        <f>4</f>
        <v>4</v>
      </c>
      <c r="C783" s="1"/>
    </row>
    <row r="784" spans="1:3" ht="17" x14ac:dyDescent="0.25">
      <c r="A784" s="3" t="s">
        <v>1305</v>
      </c>
      <c r="B784" s="3">
        <f>3</f>
        <v>3</v>
      </c>
      <c r="C784" s="1"/>
    </row>
    <row r="785" spans="1:3" ht="17" x14ac:dyDescent="0.25">
      <c r="A785" s="3" t="s">
        <v>1306</v>
      </c>
      <c r="B785" s="3">
        <f>19</f>
        <v>19</v>
      </c>
      <c r="C785" s="1"/>
    </row>
    <row r="786" spans="1:3" ht="17" x14ac:dyDescent="0.25">
      <c r="A786" s="3" t="s">
        <v>103</v>
      </c>
      <c r="B786" s="3">
        <f>7</f>
        <v>7</v>
      </c>
      <c r="C786" s="1"/>
    </row>
    <row r="787" spans="1:3" ht="17" x14ac:dyDescent="0.25">
      <c r="A787" s="3" t="s">
        <v>1307</v>
      </c>
      <c r="B787" s="3">
        <f xml:space="preserve"> szwd * vcgm</f>
        <v>55826</v>
      </c>
      <c r="C787" s="1"/>
    </row>
    <row r="788" spans="1:3" ht="17" x14ac:dyDescent="0.25">
      <c r="A788" s="3" t="s">
        <v>724</v>
      </c>
      <c r="B788" s="3">
        <f xml:space="preserve"> bgsz * lphm</f>
        <v>2314</v>
      </c>
      <c r="C788" s="1"/>
    </row>
    <row r="789" spans="1:3" ht="17" x14ac:dyDescent="0.25">
      <c r="A789" s="3" t="s">
        <v>554</v>
      </c>
      <c r="B789" s="3">
        <f>5</f>
        <v>5</v>
      </c>
      <c r="C789" s="1"/>
    </row>
    <row r="790" spans="1:3" ht="17" x14ac:dyDescent="0.25">
      <c r="A790" s="3" t="s">
        <v>1311</v>
      </c>
      <c r="B790" s="3">
        <f xml:space="preserve"> qrrv + psfs</f>
        <v>251</v>
      </c>
      <c r="C790" s="1"/>
    </row>
    <row r="791" spans="1:3" ht="17" x14ac:dyDescent="0.25">
      <c r="A791" s="3" t="s">
        <v>1313</v>
      </c>
      <c r="B791" s="3">
        <f>4</f>
        <v>4</v>
      </c>
      <c r="C791" s="1"/>
    </row>
    <row r="792" spans="1:3" ht="17" x14ac:dyDescent="0.25">
      <c r="A792" s="3" t="s">
        <v>1314</v>
      </c>
      <c r="B792" s="3">
        <f xml:space="preserve"> pvsc + mjgz</f>
        <v>7</v>
      </c>
      <c r="C792" s="1"/>
    </row>
    <row r="793" spans="1:3" ht="17" x14ac:dyDescent="0.25">
      <c r="A793" s="3" t="s">
        <v>1317</v>
      </c>
      <c r="B793" s="3">
        <f>5</f>
        <v>5</v>
      </c>
      <c r="C793" s="1"/>
    </row>
    <row r="794" spans="1:3" ht="17" x14ac:dyDescent="0.25">
      <c r="A794" s="3" t="s">
        <v>1318</v>
      </c>
      <c r="B794" s="3">
        <f xml:space="preserve"> prml + bvlv</f>
        <v>205</v>
      </c>
      <c r="C794" s="1"/>
    </row>
    <row r="795" spans="1:3" ht="17" x14ac:dyDescent="0.25">
      <c r="A795" s="3" t="s">
        <v>1302</v>
      </c>
      <c r="B795" s="3">
        <f xml:space="preserve"> ztjg + twmw</f>
        <v>13</v>
      </c>
      <c r="C795" s="1"/>
    </row>
    <row r="796" spans="1:3" ht="17" x14ac:dyDescent="0.25">
      <c r="A796" s="3" t="s">
        <v>1323</v>
      </c>
      <c r="B796" s="3">
        <f xml:space="preserve"> fswf * wzws</f>
        <v>130</v>
      </c>
      <c r="C796" s="1"/>
    </row>
    <row r="797" spans="1:3" ht="17" x14ac:dyDescent="0.25">
      <c r="A797" s="3" t="s">
        <v>765</v>
      </c>
      <c r="B797" s="3">
        <f>17</f>
        <v>17</v>
      </c>
      <c r="C797" s="1"/>
    </row>
    <row r="798" spans="1:3" ht="17" x14ac:dyDescent="0.25">
      <c r="A798" s="3" t="s">
        <v>1325</v>
      </c>
      <c r="B798" s="3">
        <f>3</f>
        <v>3</v>
      </c>
      <c r="C798" s="1"/>
    </row>
    <row r="799" spans="1:3" ht="17" x14ac:dyDescent="0.25">
      <c r="A799" s="3" t="s">
        <v>1326</v>
      </c>
      <c r="B799" s="3">
        <f>13</f>
        <v>13</v>
      </c>
      <c r="C799" s="1"/>
    </row>
    <row r="800" spans="1:3" ht="17" x14ac:dyDescent="0.25">
      <c r="A800" s="3" t="s">
        <v>1327</v>
      </c>
      <c r="B800" s="3">
        <f>1</f>
        <v>1</v>
      </c>
      <c r="C800" s="1"/>
    </row>
    <row r="801" spans="1:3" ht="17" x14ac:dyDescent="0.25">
      <c r="A801" s="3" t="s">
        <v>1328</v>
      </c>
      <c r="B801" s="3">
        <f>3</f>
        <v>3</v>
      </c>
      <c r="C801" s="1"/>
    </row>
    <row r="802" spans="1:3" ht="17" x14ac:dyDescent="0.25">
      <c r="A802" s="3" t="s">
        <v>1329</v>
      </c>
      <c r="B802" s="3">
        <f xml:space="preserve"> zwbm + dqpr</f>
        <v>62441214738328</v>
      </c>
      <c r="C802" s="1"/>
    </row>
    <row r="803" spans="1:3" ht="17" x14ac:dyDescent="0.25">
      <c r="A803" s="3" t="s">
        <v>1332</v>
      </c>
      <c r="B803" s="3">
        <f>3</f>
        <v>3</v>
      </c>
      <c r="C803" s="1"/>
    </row>
    <row r="804" spans="1:3" ht="17" x14ac:dyDescent="0.25">
      <c r="A804" s="3" t="s">
        <v>1319</v>
      </c>
      <c r="B804" s="3">
        <f xml:space="preserve"> pwld * dnhs</f>
        <v>77</v>
      </c>
      <c r="C804" s="1"/>
    </row>
    <row r="805" spans="1:3" ht="17" x14ac:dyDescent="0.25">
      <c r="A805" s="3" t="s">
        <v>332</v>
      </c>
      <c r="B805" s="3">
        <f>5</f>
        <v>5</v>
      </c>
      <c r="C805" s="1"/>
    </row>
    <row r="806" spans="1:3" ht="17" x14ac:dyDescent="0.25">
      <c r="A806" s="3" t="s">
        <v>1040</v>
      </c>
      <c r="B806" s="3">
        <f xml:space="preserve"> rhvj * lbnq</f>
        <v>9</v>
      </c>
      <c r="C806" s="1"/>
    </row>
    <row r="807" spans="1:3" ht="17" x14ac:dyDescent="0.25">
      <c r="A807" s="3" t="s">
        <v>1335</v>
      </c>
      <c r="B807" s="3">
        <f xml:space="preserve"> pgpg * bdjw</f>
        <v>90</v>
      </c>
      <c r="C807" s="1"/>
    </row>
    <row r="808" spans="1:3" ht="17" x14ac:dyDescent="0.25">
      <c r="A808" s="3" t="s">
        <v>1338</v>
      </c>
      <c r="B808" s="3">
        <f>5</f>
        <v>5</v>
      </c>
      <c r="C808" s="1"/>
    </row>
    <row r="809" spans="1:3" ht="17" x14ac:dyDescent="0.25">
      <c r="A809" s="3" t="s">
        <v>1339</v>
      </c>
      <c r="B809" s="3">
        <f xml:space="preserve"> gflm * mvsd</f>
        <v>49</v>
      </c>
      <c r="C809" s="1"/>
    </row>
    <row r="810" spans="1:3" ht="17" x14ac:dyDescent="0.25">
      <c r="A810" s="3" t="s">
        <v>838</v>
      </c>
      <c r="B810" s="3">
        <f xml:space="preserve"> qsgv + smpc</f>
        <v>31</v>
      </c>
      <c r="C810" s="1"/>
    </row>
    <row r="811" spans="1:3" ht="17" x14ac:dyDescent="0.25">
      <c r="A811" s="3" t="s">
        <v>1343</v>
      </c>
      <c r="B811" s="3">
        <f xml:space="preserve"> ztql - drlj</f>
        <v>15</v>
      </c>
      <c r="C811" s="1"/>
    </row>
    <row r="812" spans="1:3" ht="17" x14ac:dyDescent="0.25">
      <c r="A812" s="3" t="s">
        <v>1346</v>
      </c>
      <c r="B812" s="3">
        <f>3</f>
        <v>3</v>
      </c>
      <c r="C812" s="1"/>
    </row>
    <row r="813" spans="1:3" ht="17" x14ac:dyDescent="0.25">
      <c r="A813" s="3" t="s">
        <v>563</v>
      </c>
      <c r="B813" s="3">
        <f>4</f>
        <v>4</v>
      </c>
      <c r="C813" s="1"/>
    </row>
    <row r="814" spans="1:3" ht="17" x14ac:dyDescent="0.25">
      <c r="A814" s="3" t="s">
        <v>49</v>
      </c>
      <c r="B814" s="3">
        <f>3</f>
        <v>3</v>
      </c>
      <c r="C814" s="1"/>
    </row>
    <row r="815" spans="1:3" ht="17" x14ac:dyDescent="0.25">
      <c r="A815" s="3" t="s">
        <v>692</v>
      </c>
      <c r="B815" s="3">
        <f>3</f>
        <v>3</v>
      </c>
      <c r="C815" s="1"/>
    </row>
    <row r="816" spans="1:3" ht="17" x14ac:dyDescent="0.25">
      <c r="A816" s="3" t="s">
        <v>1347</v>
      </c>
      <c r="B816" s="3">
        <f xml:space="preserve"> lqml + ngfn</f>
        <v>59</v>
      </c>
      <c r="C816" s="1"/>
    </row>
    <row r="817" spans="1:3" ht="17" x14ac:dyDescent="0.25">
      <c r="A817" s="3" t="s">
        <v>1348</v>
      </c>
      <c r="B817" s="3">
        <f xml:space="preserve"> mtpt * nwvt</f>
        <v>25</v>
      </c>
      <c r="C817" s="1"/>
    </row>
    <row r="818" spans="1:3" ht="17" x14ac:dyDescent="0.25">
      <c r="A818" s="3" t="s">
        <v>1350</v>
      </c>
      <c r="B818" s="3">
        <f xml:space="preserve"> hcmr + bngv</f>
        <v>30</v>
      </c>
      <c r="C818" s="1"/>
    </row>
    <row r="819" spans="1:3" ht="17" x14ac:dyDescent="0.25">
      <c r="A819" s="3" t="s">
        <v>1353</v>
      </c>
      <c r="B819" s="3">
        <f xml:space="preserve"> tdvg - drhv</f>
        <v>54</v>
      </c>
      <c r="C819" s="1"/>
    </row>
    <row r="820" spans="1:3" ht="17" x14ac:dyDescent="0.25">
      <c r="A820" s="3" t="s">
        <v>1205</v>
      </c>
      <c r="B820" s="3">
        <f xml:space="preserve"> hczs * rdnw</f>
        <v>22455216</v>
      </c>
      <c r="C820" s="1"/>
    </row>
    <row r="821" spans="1:3" ht="17" x14ac:dyDescent="0.25">
      <c r="A821" s="3" t="s">
        <v>786</v>
      </c>
      <c r="B821" s="3">
        <f>5</f>
        <v>5</v>
      </c>
      <c r="C821" s="1"/>
    </row>
    <row r="822" spans="1:3" ht="17" x14ac:dyDescent="0.25">
      <c r="A822" s="3" t="s">
        <v>1357</v>
      </c>
      <c r="B822" s="3">
        <f>4</f>
        <v>4</v>
      </c>
      <c r="C822" s="1"/>
    </row>
    <row r="823" spans="1:3" ht="17" x14ac:dyDescent="0.25">
      <c r="A823" s="3" t="s">
        <v>1358</v>
      </c>
      <c r="B823" s="3">
        <f>3</f>
        <v>3</v>
      </c>
      <c r="C823" s="1"/>
    </row>
    <row r="824" spans="1:3" ht="17" x14ac:dyDescent="0.25">
      <c r="A824" s="3" t="s">
        <v>1266</v>
      </c>
      <c r="B824" s="3">
        <f xml:space="preserve"> bltq - cvbz</f>
        <v>17</v>
      </c>
      <c r="C824" s="1"/>
    </row>
    <row r="825" spans="1:3" ht="17" x14ac:dyDescent="0.25">
      <c r="A825" s="3" t="s">
        <v>1361</v>
      </c>
      <c r="B825" s="3">
        <f>5</f>
        <v>5</v>
      </c>
      <c r="C825" s="1"/>
    </row>
    <row r="826" spans="1:3" ht="17" x14ac:dyDescent="0.25">
      <c r="A826" s="3" t="s">
        <v>347</v>
      </c>
      <c r="B826" s="3">
        <f>8</f>
        <v>8</v>
      </c>
      <c r="C826" s="1"/>
    </row>
    <row r="827" spans="1:3" ht="17" x14ac:dyDescent="0.25">
      <c r="A827" s="3" t="s">
        <v>261</v>
      </c>
      <c r="B827" s="3">
        <f>2</f>
        <v>2</v>
      </c>
      <c r="C827" s="1"/>
    </row>
    <row r="828" spans="1:3" ht="17" x14ac:dyDescent="0.25">
      <c r="A828" s="3" t="s">
        <v>1362</v>
      </c>
      <c r="B828" s="3">
        <f xml:space="preserve"> vcfh * lhjp</f>
        <v>134</v>
      </c>
      <c r="C828" s="1"/>
    </row>
    <row r="829" spans="1:3" ht="17" x14ac:dyDescent="0.25">
      <c r="A829" s="3" t="s">
        <v>569</v>
      </c>
      <c r="B829" s="3">
        <f xml:space="preserve"> dhdh + jhjh</f>
        <v>571</v>
      </c>
      <c r="C829" s="1"/>
    </row>
    <row r="830" spans="1:3" ht="17" x14ac:dyDescent="0.25">
      <c r="A830" s="3" t="s">
        <v>1364</v>
      </c>
      <c r="B830" s="3">
        <f xml:space="preserve"> vnhj * mbgw</f>
        <v>200</v>
      </c>
      <c r="C830" s="1"/>
    </row>
    <row r="831" spans="1:3" ht="17" x14ac:dyDescent="0.25">
      <c r="A831" s="3" t="s">
        <v>1174</v>
      </c>
      <c r="B831" s="3">
        <f xml:space="preserve"> rgtd * wpln</f>
        <v>102260301998318</v>
      </c>
      <c r="C831" s="1"/>
    </row>
    <row r="832" spans="1:3" ht="17" x14ac:dyDescent="0.25">
      <c r="A832" s="3" t="s">
        <v>1367</v>
      </c>
      <c r="B832" s="3">
        <f xml:space="preserve"> fsjt + tlbn</f>
        <v>73</v>
      </c>
      <c r="C832" s="1"/>
    </row>
    <row r="833" spans="1:3" ht="17" x14ac:dyDescent="0.25">
      <c r="A833" s="3" t="s">
        <v>1368</v>
      </c>
      <c r="B833" s="3">
        <f>5</f>
        <v>5</v>
      </c>
      <c r="C833" s="1"/>
    </row>
    <row r="834" spans="1:3" ht="17" x14ac:dyDescent="0.25">
      <c r="A834" s="3" t="s">
        <v>1369</v>
      </c>
      <c r="B834" s="3">
        <f>12</f>
        <v>12</v>
      </c>
      <c r="C834" s="1"/>
    </row>
    <row r="835" spans="1:3" ht="17" x14ac:dyDescent="0.25">
      <c r="A835" s="3" t="s">
        <v>1370</v>
      </c>
      <c r="B835" s="3">
        <f xml:space="preserve"> bdww + cmpp</f>
        <v>29</v>
      </c>
      <c r="C835" s="1"/>
    </row>
    <row r="836" spans="1:3" ht="17" x14ac:dyDescent="0.25">
      <c r="A836" s="3" t="s">
        <v>1312</v>
      </c>
      <c r="B836" s="3">
        <f xml:space="preserve"> bccv / jczp</f>
        <v>214</v>
      </c>
      <c r="C836" s="1"/>
    </row>
    <row r="837" spans="1:3" ht="17" x14ac:dyDescent="0.25">
      <c r="A837" s="3" t="s">
        <v>1202</v>
      </c>
      <c r="B837" s="3">
        <f xml:space="preserve"> jsqn * bfnm</f>
        <v>88</v>
      </c>
      <c r="C837" s="1"/>
    </row>
    <row r="838" spans="1:3" ht="17" x14ac:dyDescent="0.25">
      <c r="A838" s="3" t="s">
        <v>1376</v>
      </c>
      <c r="B838" s="3">
        <f xml:space="preserve"> vrqb + wdnm</f>
        <v>137</v>
      </c>
      <c r="C838" s="1"/>
    </row>
    <row r="839" spans="1:3" ht="17" x14ac:dyDescent="0.25">
      <c r="A839" s="3" t="s">
        <v>73</v>
      </c>
      <c r="B839" s="3">
        <f xml:space="preserve"> qsrh + qvph</f>
        <v>1249</v>
      </c>
      <c r="C839" s="1"/>
    </row>
    <row r="840" spans="1:3" ht="17" x14ac:dyDescent="0.25">
      <c r="A840" s="3" t="s">
        <v>1380</v>
      </c>
      <c r="B840" s="3">
        <f xml:space="preserve"> gmlr + ntfg</f>
        <v>23</v>
      </c>
      <c r="C840" s="1"/>
    </row>
    <row r="841" spans="1:3" ht="17" x14ac:dyDescent="0.25">
      <c r="A841" s="3" t="s">
        <v>181</v>
      </c>
      <c r="B841" s="3">
        <f>2</f>
        <v>2</v>
      </c>
      <c r="C841" s="1"/>
    </row>
    <row r="842" spans="1:3" ht="17" x14ac:dyDescent="0.25">
      <c r="A842" s="3" t="s">
        <v>131</v>
      </c>
      <c r="B842" s="3">
        <f xml:space="preserve"> rwlb / swqf</f>
        <v>56</v>
      </c>
      <c r="C842" s="1"/>
    </row>
    <row r="843" spans="1:3" ht="17" x14ac:dyDescent="0.25">
      <c r="A843" s="3" t="s">
        <v>1382</v>
      </c>
      <c r="B843" s="3">
        <f>3</f>
        <v>3</v>
      </c>
      <c r="C843" s="1"/>
    </row>
    <row r="844" spans="1:3" ht="17" x14ac:dyDescent="0.25">
      <c r="A844" s="3" t="s">
        <v>1383</v>
      </c>
      <c r="B844" s="3">
        <f>3</f>
        <v>3</v>
      </c>
      <c r="C844" s="1"/>
    </row>
    <row r="845" spans="1:3" ht="17" x14ac:dyDescent="0.25">
      <c r="A845" s="3" t="s">
        <v>1128</v>
      </c>
      <c r="B845" s="3">
        <f>4</f>
        <v>4</v>
      </c>
      <c r="C845" s="1"/>
    </row>
    <row r="846" spans="1:3" ht="17" x14ac:dyDescent="0.25">
      <c r="A846" s="3" t="s">
        <v>1384</v>
      </c>
      <c r="B846" s="3">
        <f>5</f>
        <v>5</v>
      </c>
      <c r="C846" s="1"/>
    </row>
    <row r="847" spans="1:3" ht="17" x14ac:dyDescent="0.25">
      <c r="A847" s="3" t="s">
        <v>1385</v>
      </c>
      <c r="B847" s="3">
        <f xml:space="preserve"> lhfq + mqlc</f>
        <v>32</v>
      </c>
      <c r="C847" s="1"/>
    </row>
    <row r="848" spans="1:3" ht="17" x14ac:dyDescent="0.25">
      <c r="A848" s="3" t="s">
        <v>1388</v>
      </c>
      <c r="B848" s="3">
        <f>4</f>
        <v>4</v>
      </c>
      <c r="C848" s="1"/>
    </row>
    <row r="849" spans="1:3" ht="17" x14ac:dyDescent="0.25">
      <c r="A849" s="3" t="s">
        <v>1389</v>
      </c>
      <c r="B849" s="3">
        <f xml:space="preserve"> dctv * zmnz</f>
        <v>10</v>
      </c>
      <c r="C849" s="1"/>
    </row>
    <row r="850" spans="1:3" ht="17" x14ac:dyDescent="0.25">
      <c r="A850" s="3" t="s">
        <v>1391</v>
      </c>
      <c r="B850" s="3">
        <f>2</f>
        <v>2</v>
      </c>
      <c r="C850" s="1"/>
    </row>
    <row r="851" spans="1:3" ht="17" x14ac:dyDescent="0.25">
      <c r="A851" s="3" t="s">
        <v>1392</v>
      </c>
      <c r="B851" s="3">
        <f>1</f>
        <v>1</v>
      </c>
      <c r="C851" s="1"/>
    </row>
    <row r="852" spans="1:3" ht="17" x14ac:dyDescent="0.25">
      <c r="A852" s="3" t="s">
        <v>1393</v>
      </c>
      <c r="B852" s="3">
        <f xml:space="preserve"> nrrh + vjss</f>
        <v>199</v>
      </c>
      <c r="C852" s="1"/>
    </row>
    <row r="853" spans="1:3" ht="17" x14ac:dyDescent="0.25">
      <c r="A853" s="3" t="s">
        <v>1396</v>
      </c>
      <c r="B853" s="3">
        <f>1</f>
        <v>1</v>
      </c>
      <c r="C853" s="1"/>
    </row>
    <row r="854" spans="1:3" ht="17" x14ac:dyDescent="0.25">
      <c r="A854" s="3" t="s">
        <v>1140</v>
      </c>
      <c r="B854" s="3">
        <f xml:space="preserve"> lljn * sjvt</f>
        <v>298</v>
      </c>
      <c r="C854" s="1"/>
    </row>
    <row r="855" spans="1:3" ht="17" x14ac:dyDescent="0.25">
      <c r="A855" s="3" t="s">
        <v>1398</v>
      </c>
      <c r="B855" s="3">
        <f xml:space="preserve"> zztm + tbwn</f>
        <v>19</v>
      </c>
      <c r="C855" s="1"/>
    </row>
    <row r="856" spans="1:3" ht="17" x14ac:dyDescent="0.25">
      <c r="A856" s="3" t="s">
        <v>1400</v>
      </c>
      <c r="B856" s="3">
        <f>2</f>
        <v>2</v>
      </c>
      <c r="C856" s="1"/>
    </row>
    <row r="857" spans="1:3" ht="17" x14ac:dyDescent="0.25">
      <c r="A857" s="3" t="s">
        <v>1401</v>
      </c>
      <c r="B857" s="3">
        <f xml:space="preserve"> zzrg + wvmm</f>
        <v>13</v>
      </c>
      <c r="C857" s="1"/>
    </row>
    <row r="858" spans="1:3" ht="17" x14ac:dyDescent="0.25">
      <c r="A858" s="3" t="s">
        <v>1404</v>
      </c>
      <c r="B858" s="3">
        <f xml:space="preserve"> ptsl + scwd</f>
        <v>73</v>
      </c>
      <c r="C858" s="1"/>
    </row>
    <row r="859" spans="1:3" ht="17" x14ac:dyDescent="0.25">
      <c r="A859" s="3" t="s">
        <v>1407</v>
      </c>
      <c r="B859" s="3">
        <f xml:space="preserve"> shvv + hhzp</f>
        <v>7</v>
      </c>
      <c r="C859" s="1"/>
    </row>
    <row r="860" spans="1:3" ht="17" x14ac:dyDescent="0.25">
      <c r="A860" s="3" t="s">
        <v>1409</v>
      </c>
      <c r="B860" s="3">
        <f>2</f>
        <v>2</v>
      </c>
      <c r="C860" s="1"/>
    </row>
    <row r="861" spans="1:3" ht="17" x14ac:dyDescent="0.25">
      <c r="A861" s="3" t="s">
        <v>775</v>
      </c>
      <c r="B861" s="3">
        <f>2</f>
        <v>2</v>
      </c>
      <c r="C861" s="1"/>
    </row>
    <row r="862" spans="1:3" ht="17" x14ac:dyDescent="0.25">
      <c r="A862" s="3" t="s">
        <v>42</v>
      </c>
      <c r="B862" s="3">
        <f>2</f>
        <v>2</v>
      </c>
      <c r="C862" s="1"/>
    </row>
    <row r="863" spans="1:3" ht="17" x14ac:dyDescent="0.25">
      <c r="A863" s="3" t="s">
        <v>1410</v>
      </c>
      <c r="B863" s="3">
        <f>4</f>
        <v>4</v>
      </c>
      <c r="C863" s="1"/>
    </row>
    <row r="864" spans="1:3" ht="17" x14ac:dyDescent="0.25">
      <c r="A864" s="3" t="s">
        <v>1411</v>
      </c>
      <c r="B864" s="3">
        <f>4</f>
        <v>4</v>
      </c>
      <c r="C864" s="1"/>
    </row>
    <row r="865" spans="1:3" ht="17" x14ac:dyDescent="0.25">
      <c r="A865" s="3" t="s">
        <v>1237</v>
      </c>
      <c r="B865" s="3">
        <f xml:space="preserve"> nwrh * mlcw</f>
        <v>338</v>
      </c>
      <c r="C865" s="1"/>
    </row>
    <row r="866" spans="1:3" ht="17" x14ac:dyDescent="0.25">
      <c r="A866" s="3" t="s">
        <v>359</v>
      </c>
      <c r="B866" s="3">
        <f>2</f>
        <v>2</v>
      </c>
      <c r="C866" s="1"/>
    </row>
    <row r="867" spans="1:3" ht="17" x14ac:dyDescent="0.25">
      <c r="A867" s="3" t="s">
        <v>1413</v>
      </c>
      <c r="B867" s="3">
        <f xml:space="preserve"> mdlr + djdw</f>
        <v>6</v>
      </c>
      <c r="C867" s="1"/>
    </row>
    <row r="868" spans="1:3" ht="17" x14ac:dyDescent="0.25">
      <c r="A868" s="3" t="s">
        <v>1414</v>
      </c>
      <c r="B868" s="3">
        <f>3</f>
        <v>3</v>
      </c>
      <c r="C868" s="1"/>
    </row>
    <row r="869" spans="1:3" ht="17" x14ac:dyDescent="0.25">
      <c r="A869" s="3" t="s">
        <v>1415</v>
      </c>
      <c r="B869" s="3">
        <f xml:space="preserve"> pdcc * ztbg</f>
        <v>6</v>
      </c>
      <c r="C869" s="1"/>
    </row>
    <row r="870" spans="1:3" ht="17" x14ac:dyDescent="0.25">
      <c r="A870" s="3" t="s">
        <v>1417</v>
      </c>
      <c r="B870" s="3">
        <f>2</f>
        <v>2</v>
      </c>
      <c r="C870" s="1"/>
    </row>
    <row r="871" spans="1:3" ht="17" x14ac:dyDescent="0.25">
      <c r="A871" s="3" t="s">
        <v>1418</v>
      </c>
      <c r="B871" s="3">
        <f>1</f>
        <v>1</v>
      </c>
      <c r="C871" s="1"/>
    </row>
    <row r="872" spans="1:3" ht="17" x14ac:dyDescent="0.25">
      <c r="A872" s="3" t="s">
        <v>312</v>
      </c>
      <c r="B872" s="3">
        <f>4</f>
        <v>4</v>
      </c>
      <c r="C872" s="1"/>
    </row>
    <row r="873" spans="1:3" ht="17" x14ac:dyDescent="0.25">
      <c r="A873" s="3" t="s">
        <v>1419</v>
      </c>
      <c r="B873" s="3">
        <f>4</f>
        <v>4</v>
      </c>
      <c r="C873" s="1"/>
    </row>
    <row r="874" spans="1:3" ht="17" x14ac:dyDescent="0.25">
      <c r="A874" s="3" t="s">
        <v>1420</v>
      </c>
      <c r="B874" s="3">
        <f xml:space="preserve"> zngh / vfrn</f>
        <v>8</v>
      </c>
      <c r="C874" s="1"/>
    </row>
    <row r="875" spans="1:3" ht="17" x14ac:dyDescent="0.25">
      <c r="A875" s="3" t="s">
        <v>1421</v>
      </c>
      <c r="B875" s="3">
        <f>3</f>
        <v>3</v>
      </c>
      <c r="C875" s="1"/>
    </row>
    <row r="876" spans="1:3" ht="17" x14ac:dyDescent="0.25">
      <c r="A876" s="3" t="s">
        <v>1422</v>
      </c>
      <c r="B876" s="3">
        <f xml:space="preserve"> bntt * jwph</f>
        <v>44</v>
      </c>
      <c r="C876" s="1"/>
    </row>
    <row r="877" spans="1:3" ht="17" x14ac:dyDescent="0.25">
      <c r="A877" s="3" t="s">
        <v>147</v>
      </c>
      <c r="B877" s="3">
        <f>20</f>
        <v>20</v>
      </c>
      <c r="C877" s="1"/>
    </row>
    <row r="878" spans="1:3" ht="17" x14ac:dyDescent="0.25">
      <c r="A878" s="3" t="s">
        <v>1424</v>
      </c>
      <c r="B878" s="3">
        <f>3</f>
        <v>3</v>
      </c>
      <c r="C878" s="1"/>
    </row>
    <row r="879" spans="1:3" ht="17" x14ac:dyDescent="0.25">
      <c r="A879" s="3" t="s">
        <v>423</v>
      </c>
      <c r="B879" s="3">
        <f>6</f>
        <v>6</v>
      </c>
      <c r="C879" s="1"/>
    </row>
    <row r="880" spans="1:3" ht="17" x14ac:dyDescent="0.25">
      <c r="A880" s="3" t="s">
        <v>1425</v>
      </c>
      <c r="B880" s="3">
        <f>4</f>
        <v>4</v>
      </c>
      <c r="C880" s="1"/>
    </row>
    <row r="881" spans="1:3" ht="17" x14ac:dyDescent="0.25">
      <c r="A881" s="3" t="s">
        <v>1426</v>
      </c>
      <c r="B881" s="3">
        <f xml:space="preserve"> bswg * sgdd</f>
        <v>35</v>
      </c>
      <c r="C881" s="1"/>
    </row>
    <row r="882" spans="1:3" ht="17" x14ac:dyDescent="0.25">
      <c r="A882" s="3" t="s">
        <v>476</v>
      </c>
      <c r="B882" s="3">
        <f>1</f>
        <v>1</v>
      </c>
      <c r="C882" s="1"/>
    </row>
    <row r="883" spans="1:3" ht="17" x14ac:dyDescent="0.25">
      <c r="A883" s="3" t="s">
        <v>1427</v>
      </c>
      <c r="B883" s="3">
        <f>2</f>
        <v>2</v>
      </c>
      <c r="C883" s="1"/>
    </row>
    <row r="884" spans="1:3" ht="17" x14ac:dyDescent="0.25">
      <c r="A884" s="3" t="s">
        <v>1428</v>
      </c>
      <c r="B884" s="3">
        <f>3</f>
        <v>3</v>
      </c>
      <c r="C884" s="1"/>
    </row>
    <row r="885" spans="1:3" ht="17" x14ac:dyDescent="0.25">
      <c r="A885" s="3" t="s">
        <v>1429</v>
      </c>
      <c r="B885" s="3">
        <f>2</f>
        <v>2</v>
      </c>
      <c r="C885" s="1"/>
    </row>
    <row r="886" spans="1:3" ht="17" x14ac:dyDescent="0.25">
      <c r="A886" s="3" t="s">
        <v>1430</v>
      </c>
      <c r="B886" s="3">
        <f xml:space="preserve"> wdwr * bmsc</f>
        <v>104</v>
      </c>
      <c r="C886" s="1"/>
    </row>
    <row r="887" spans="1:3" ht="17" x14ac:dyDescent="0.25">
      <c r="A887" s="3" t="s">
        <v>1432</v>
      </c>
      <c r="B887" s="3">
        <f xml:space="preserve"> jnbr * vvmd</f>
        <v>76</v>
      </c>
      <c r="C887" s="1"/>
    </row>
    <row r="888" spans="1:3" ht="17" x14ac:dyDescent="0.25">
      <c r="A888" s="3" t="s">
        <v>434</v>
      </c>
      <c r="B888" s="3">
        <f>3</f>
        <v>3</v>
      </c>
      <c r="C888" s="1"/>
    </row>
    <row r="889" spans="1:3" ht="17" x14ac:dyDescent="0.25">
      <c r="A889" s="3" t="s">
        <v>1435</v>
      </c>
      <c r="B889" s="3">
        <f>3</f>
        <v>3</v>
      </c>
      <c r="C889" s="1"/>
    </row>
    <row r="890" spans="1:3" ht="17" x14ac:dyDescent="0.25">
      <c r="A890" s="3" t="s">
        <v>1436</v>
      </c>
      <c r="B890" s="3">
        <f xml:space="preserve"> ldcj / hfbv</f>
        <v>337</v>
      </c>
      <c r="C890" s="1"/>
    </row>
    <row r="891" spans="1:3" ht="17" x14ac:dyDescent="0.25">
      <c r="A891" s="3" t="s">
        <v>1438</v>
      </c>
      <c r="B891" s="3">
        <f>17</f>
        <v>17</v>
      </c>
      <c r="C891" s="1"/>
    </row>
    <row r="892" spans="1:3" ht="17" x14ac:dyDescent="0.25">
      <c r="A892" s="3" t="s">
        <v>1439</v>
      </c>
      <c r="B892" s="3">
        <f>10</f>
        <v>10</v>
      </c>
      <c r="C892" s="1"/>
    </row>
    <row r="893" spans="1:3" ht="17" x14ac:dyDescent="0.25">
      <c r="A893" s="3" t="s">
        <v>182</v>
      </c>
      <c r="B893" s="3">
        <f>13</f>
        <v>13</v>
      </c>
      <c r="C893" s="1"/>
    </row>
    <row r="894" spans="1:3" ht="17" x14ac:dyDescent="0.25">
      <c r="A894" s="3" t="s">
        <v>1440</v>
      </c>
      <c r="B894" s="3">
        <f xml:space="preserve"> ndhv + gdfr</f>
        <v>47</v>
      </c>
      <c r="C894" s="1"/>
    </row>
    <row r="895" spans="1:3" ht="17" x14ac:dyDescent="0.25">
      <c r="A895" s="3" t="s">
        <v>1443</v>
      </c>
      <c r="B895" s="3">
        <f xml:space="preserve"> zswn * jrzc</f>
        <v>108</v>
      </c>
      <c r="C895" s="1"/>
    </row>
    <row r="896" spans="1:3" ht="17" x14ac:dyDescent="0.25">
      <c r="A896" s="3" t="s">
        <v>1446</v>
      </c>
      <c r="B896" s="3">
        <f xml:space="preserve"> jcsq / ndrd</f>
        <v>19</v>
      </c>
      <c r="C896" s="1"/>
    </row>
    <row r="897" spans="1:3" ht="17" x14ac:dyDescent="0.25">
      <c r="A897" s="3" t="s">
        <v>1448</v>
      </c>
      <c r="B897" s="3">
        <f xml:space="preserve"> jfpv * csgw</f>
        <v>18</v>
      </c>
      <c r="C897" s="1"/>
    </row>
    <row r="898" spans="1:3" ht="17" x14ac:dyDescent="0.25">
      <c r="A898" s="3" t="s">
        <v>205</v>
      </c>
      <c r="B898" s="3">
        <f xml:space="preserve"> wgdz * wvtc</f>
        <v>3024980</v>
      </c>
      <c r="C898" s="1"/>
    </row>
    <row r="899" spans="1:3" ht="17" x14ac:dyDescent="0.25">
      <c r="A899" s="3" t="s">
        <v>272</v>
      </c>
      <c r="B899" s="3">
        <f>20</f>
        <v>20</v>
      </c>
      <c r="C899" s="1"/>
    </row>
    <row r="900" spans="1:3" ht="17" x14ac:dyDescent="0.25">
      <c r="A900" s="3" t="s">
        <v>1451</v>
      </c>
      <c r="B900" s="3">
        <f xml:space="preserve"> pvpm * pfrc</f>
        <v>520</v>
      </c>
      <c r="C900" s="1"/>
    </row>
    <row r="901" spans="1:3" ht="17" x14ac:dyDescent="0.25">
      <c r="A901" s="3" t="s">
        <v>1236</v>
      </c>
      <c r="B901" s="3">
        <f xml:space="preserve"> znvj * nvbg</f>
        <v>3566</v>
      </c>
      <c r="C901" s="1"/>
    </row>
    <row r="902" spans="1:3" ht="17" x14ac:dyDescent="0.25">
      <c r="A902" s="3" t="s">
        <v>1379</v>
      </c>
      <c r="B902" s="3">
        <f xml:space="preserve"> pjhq * nsbq</f>
        <v>793</v>
      </c>
      <c r="C902" s="1"/>
    </row>
    <row r="903" spans="1:3" ht="17" x14ac:dyDescent="0.25">
      <c r="A903" s="3" t="s">
        <v>587</v>
      </c>
      <c r="B903" s="3">
        <f>17</f>
        <v>17</v>
      </c>
      <c r="C903" s="1"/>
    </row>
    <row r="904" spans="1:3" ht="17" x14ac:dyDescent="0.25">
      <c r="A904" s="3" t="s">
        <v>1457</v>
      </c>
      <c r="B904" s="3">
        <f>3</f>
        <v>3</v>
      </c>
      <c r="C904" s="1"/>
    </row>
    <row r="905" spans="1:3" ht="17" x14ac:dyDescent="0.25">
      <c r="A905" s="3" t="s">
        <v>934</v>
      </c>
      <c r="B905" s="3">
        <f>11</f>
        <v>11</v>
      </c>
      <c r="C905" s="1"/>
    </row>
    <row r="906" spans="1:3" ht="17" x14ac:dyDescent="0.25">
      <c r="A906" s="3" t="s">
        <v>1458</v>
      </c>
      <c r="B906" s="3">
        <f>5</f>
        <v>5</v>
      </c>
      <c r="C906" s="1"/>
    </row>
    <row r="907" spans="1:3" ht="17" x14ac:dyDescent="0.25">
      <c r="A907" s="3" t="s">
        <v>1459</v>
      </c>
      <c r="B907" s="3">
        <f xml:space="preserve"> tvdc + fngh</f>
        <v>125</v>
      </c>
      <c r="C907" s="1"/>
    </row>
    <row r="908" spans="1:3" ht="17" x14ac:dyDescent="0.25">
      <c r="A908" s="3" t="s">
        <v>1462</v>
      </c>
      <c r="B908" s="3">
        <f>13</f>
        <v>13</v>
      </c>
      <c r="C908" s="1"/>
    </row>
    <row r="909" spans="1:3" ht="17" x14ac:dyDescent="0.25">
      <c r="A909" s="3" t="s">
        <v>1017</v>
      </c>
      <c r="B909" s="3">
        <f xml:space="preserve"> tmpv + fqjw</f>
        <v>23</v>
      </c>
      <c r="C909" s="1"/>
    </row>
    <row r="910" spans="1:3" ht="17" x14ac:dyDescent="0.25">
      <c r="A910" s="3" t="s">
        <v>1463</v>
      </c>
      <c r="B910" s="3">
        <f xml:space="preserve"> hlht * zrcm</f>
        <v>21</v>
      </c>
      <c r="C910" s="1"/>
    </row>
    <row r="911" spans="1:3" ht="17" x14ac:dyDescent="0.25">
      <c r="A911" s="3" t="s">
        <v>1355</v>
      </c>
      <c r="B911" s="3">
        <f xml:space="preserve"> lswd * gchc</f>
        <v>44554</v>
      </c>
      <c r="C911" s="1"/>
    </row>
    <row r="912" spans="1:3" ht="17" x14ac:dyDescent="0.25">
      <c r="A912" s="3" t="s">
        <v>468</v>
      </c>
      <c r="B912" s="3">
        <f>2</f>
        <v>2</v>
      </c>
      <c r="C912" s="1"/>
    </row>
    <row r="913" spans="1:3" ht="17" x14ac:dyDescent="0.25">
      <c r="A913" s="3" t="s">
        <v>117</v>
      </c>
      <c r="B913" s="3">
        <f>9</f>
        <v>9</v>
      </c>
      <c r="C913" s="1"/>
    </row>
    <row r="914" spans="1:3" ht="17" x14ac:dyDescent="0.25">
      <c r="A914" s="3" t="s">
        <v>606</v>
      </c>
      <c r="B914" s="3">
        <f xml:space="preserve"> grmr + gnwc</f>
        <v>41</v>
      </c>
      <c r="C914" s="1"/>
    </row>
    <row r="915" spans="1:3" ht="17" x14ac:dyDescent="0.25">
      <c r="A915" s="3" t="s">
        <v>1469</v>
      </c>
      <c r="B915" s="3">
        <f>19</f>
        <v>19</v>
      </c>
      <c r="C915" s="1"/>
    </row>
    <row r="916" spans="1:3" ht="17" x14ac:dyDescent="0.25">
      <c r="A916" s="3" t="s">
        <v>1470</v>
      </c>
      <c r="B916" s="3">
        <f>16</f>
        <v>16</v>
      </c>
      <c r="C916" s="1"/>
    </row>
    <row r="917" spans="1:3" ht="17" x14ac:dyDescent="0.25">
      <c r="A917" s="3" t="s">
        <v>1471</v>
      </c>
      <c r="B917" s="3">
        <f xml:space="preserve"> vvlm * wjtp</f>
        <v>189</v>
      </c>
      <c r="C917" s="1"/>
    </row>
    <row r="918" spans="1:3" ht="17" x14ac:dyDescent="0.25">
      <c r="A918" s="3" t="s">
        <v>687</v>
      </c>
      <c r="B918" s="3">
        <f>3</f>
        <v>3</v>
      </c>
      <c r="C918" s="1"/>
    </row>
    <row r="919" spans="1:3" ht="17" x14ac:dyDescent="0.25">
      <c r="A919" s="3" t="s">
        <v>1473</v>
      </c>
      <c r="B919" s="3">
        <f xml:space="preserve"> gwcc * qsrf</f>
        <v>8226</v>
      </c>
      <c r="C919" s="1"/>
    </row>
    <row r="920" spans="1:3" ht="17" x14ac:dyDescent="0.25">
      <c r="A920" s="3" t="s">
        <v>1214</v>
      </c>
      <c r="B920" s="3">
        <f xml:space="preserve"> csfj * rhzn</f>
        <v>12</v>
      </c>
      <c r="C920" s="1"/>
    </row>
    <row r="921" spans="1:3" ht="17" x14ac:dyDescent="0.25">
      <c r="A921" s="3" t="s">
        <v>1477</v>
      </c>
      <c r="B921" s="3">
        <f>10</f>
        <v>10</v>
      </c>
      <c r="C921" s="1"/>
    </row>
    <row r="922" spans="1:3" ht="17" x14ac:dyDescent="0.25">
      <c r="A922" s="3" t="s">
        <v>1478</v>
      </c>
      <c r="B922" s="3">
        <f xml:space="preserve"> dsrn + dpgj</f>
        <v>2893</v>
      </c>
      <c r="C922" s="1"/>
    </row>
    <row r="923" spans="1:3" ht="17" x14ac:dyDescent="0.25">
      <c r="A923" s="3" t="s">
        <v>1480</v>
      </c>
      <c r="B923" s="3">
        <f>3</f>
        <v>3</v>
      </c>
      <c r="C923" s="1"/>
    </row>
    <row r="924" spans="1:3" ht="17" x14ac:dyDescent="0.25">
      <c r="A924" s="3" t="s">
        <v>940</v>
      </c>
      <c r="B924" s="3">
        <f xml:space="preserve"> fmhr + sblg</f>
        <v>174</v>
      </c>
      <c r="C924" s="1"/>
    </row>
    <row r="925" spans="1:3" ht="17" x14ac:dyDescent="0.25">
      <c r="A925" s="3" t="s">
        <v>1481</v>
      </c>
      <c r="B925" s="3">
        <f xml:space="preserve"> mhhf + dgww</f>
        <v>12</v>
      </c>
      <c r="C925" s="1"/>
    </row>
    <row r="926" spans="1:3" ht="17" x14ac:dyDescent="0.25">
      <c r="A926" s="3" t="s">
        <v>1484</v>
      </c>
      <c r="B926" s="3">
        <f>2</f>
        <v>2</v>
      </c>
      <c r="C926" s="1"/>
    </row>
    <row r="927" spans="1:3" ht="17" x14ac:dyDescent="0.25">
      <c r="A927" s="3" t="s">
        <v>1485</v>
      </c>
      <c r="B927" s="3">
        <f xml:space="preserve"> rchv * vszn</f>
        <v>64</v>
      </c>
      <c r="C927" s="1"/>
    </row>
    <row r="928" spans="1:3" ht="17" x14ac:dyDescent="0.25">
      <c r="A928" s="3" t="s">
        <v>1487</v>
      </c>
      <c r="B928" s="3">
        <f>3</f>
        <v>3</v>
      </c>
      <c r="C928" s="1"/>
    </row>
    <row r="929" spans="1:3" ht="17" x14ac:dyDescent="0.25">
      <c r="A929" s="3" t="s">
        <v>1488</v>
      </c>
      <c r="B929" s="3">
        <f>3</f>
        <v>3</v>
      </c>
      <c r="C929" s="1"/>
    </row>
    <row r="930" spans="1:3" ht="17" x14ac:dyDescent="0.25">
      <c r="A930" s="3" t="s">
        <v>1489</v>
      </c>
      <c r="B930" s="3">
        <f xml:space="preserve"> cbgb + csqb</f>
        <v>11</v>
      </c>
      <c r="C930" s="1"/>
    </row>
    <row r="931" spans="1:3" ht="17" x14ac:dyDescent="0.25">
      <c r="A931" s="3" t="s">
        <v>946</v>
      </c>
      <c r="B931" s="3">
        <f>5</f>
        <v>5</v>
      </c>
      <c r="C931" s="1"/>
    </row>
    <row r="932" spans="1:3" ht="17" x14ac:dyDescent="0.25">
      <c r="A932" s="3" t="s">
        <v>1492</v>
      </c>
      <c r="B932" s="3">
        <f xml:space="preserve"> lrjz * bcnh</f>
        <v>44</v>
      </c>
      <c r="C932" s="1"/>
    </row>
    <row r="933" spans="1:3" ht="17" x14ac:dyDescent="0.25">
      <c r="A933" s="3" t="s">
        <v>1495</v>
      </c>
      <c r="B933" s="3">
        <f xml:space="preserve"> czhr + tqrg</f>
        <v>457</v>
      </c>
      <c r="C933" s="1"/>
    </row>
    <row r="934" spans="1:3" ht="17" x14ac:dyDescent="0.25">
      <c r="A934" s="3" t="s">
        <v>612</v>
      </c>
      <c r="B934" s="3">
        <f>3</f>
        <v>3</v>
      </c>
      <c r="C934" s="1"/>
    </row>
    <row r="935" spans="1:3" ht="17" x14ac:dyDescent="0.25">
      <c r="A935" s="3" t="s">
        <v>974</v>
      </c>
      <c r="B935" s="3">
        <f xml:space="preserve"> zdmp + sbll</f>
        <v>7</v>
      </c>
      <c r="C935" s="1"/>
    </row>
    <row r="936" spans="1:3" ht="17" x14ac:dyDescent="0.25">
      <c r="A936" s="3" t="s">
        <v>1499</v>
      </c>
      <c r="B936" s="3">
        <f xml:space="preserve"> qstn * whdr</f>
        <v>127825377500252</v>
      </c>
      <c r="C936" s="1"/>
    </row>
    <row r="937" spans="1:3" ht="17" x14ac:dyDescent="0.25">
      <c r="A937" s="3" t="s">
        <v>236</v>
      </c>
      <c r="B937" s="3">
        <f>17</f>
        <v>17</v>
      </c>
      <c r="C937" s="1"/>
    </row>
    <row r="938" spans="1:3" ht="17" x14ac:dyDescent="0.25">
      <c r="A938" s="3" t="s">
        <v>1175</v>
      </c>
      <c r="B938" s="3">
        <f xml:space="preserve"> jgzl * cprz</f>
        <v>687</v>
      </c>
      <c r="C938" s="1"/>
    </row>
    <row r="939" spans="1:3" ht="17" x14ac:dyDescent="0.25">
      <c r="A939" s="3" t="s">
        <v>1503</v>
      </c>
      <c r="B939" s="3">
        <f>2</f>
        <v>2</v>
      </c>
      <c r="C939" s="1"/>
    </row>
    <row r="940" spans="1:3" ht="17" x14ac:dyDescent="0.25">
      <c r="A940" s="3" t="s">
        <v>1504</v>
      </c>
      <c r="B940" s="3">
        <f xml:space="preserve"> nnmr + qgmp</f>
        <v>817</v>
      </c>
      <c r="C940" s="1"/>
    </row>
    <row r="941" spans="1:3" ht="17" x14ac:dyDescent="0.25">
      <c r="A941" s="3" t="s">
        <v>276</v>
      </c>
      <c r="B941" s="3">
        <f xml:space="preserve"> rsjw * ffzf</f>
        <v>159071580887322</v>
      </c>
      <c r="C941" s="1"/>
    </row>
    <row r="942" spans="1:3" ht="17" x14ac:dyDescent="0.25">
      <c r="A942" s="3" t="s">
        <v>1508</v>
      </c>
      <c r="B942" s="3">
        <f>3</f>
        <v>3</v>
      </c>
      <c r="C942" s="1"/>
    </row>
    <row r="943" spans="1:3" ht="17" x14ac:dyDescent="0.25">
      <c r="A943" s="3" t="s">
        <v>1509</v>
      </c>
      <c r="B943" s="3">
        <f xml:space="preserve"> gwjf * fbtd</f>
        <v>20</v>
      </c>
      <c r="C943" s="1"/>
    </row>
    <row r="944" spans="1:3" ht="17" x14ac:dyDescent="0.25">
      <c r="A944" s="3" t="s">
        <v>1511</v>
      </c>
      <c r="B944" s="3">
        <f xml:space="preserve"> cgjm * mzgg</f>
        <v>219</v>
      </c>
      <c r="C944" s="1"/>
    </row>
    <row r="945" spans="1:3" ht="17" x14ac:dyDescent="0.25">
      <c r="A945" s="3" t="s">
        <v>1513</v>
      </c>
      <c r="B945" s="3">
        <f xml:space="preserve"> zrbl - dddh</f>
        <v>367</v>
      </c>
      <c r="C945" s="1"/>
    </row>
    <row r="946" spans="1:3" ht="17" x14ac:dyDescent="0.25">
      <c r="A946" s="3" t="s">
        <v>1515</v>
      </c>
      <c r="B946" s="3">
        <f xml:space="preserve"> ntcs / wrnp</f>
        <v>74</v>
      </c>
      <c r="C946" s="1"/>
    </row>
    <row r="947" spans="1:3" ht="17" x14ac:dyDescent="0.25">
      <c r="A947" s="3" t="s">
        <v>1518</v>
      </c>
      <c r="B947" s="3">
        <f xml:space="preserve"> rzvt + bfrv</f>
        <v>32</v>
      </c>
      <c r="C947" s="1"/>
    </row>
    <row r="948" spans="1:3" ht="17" x14ac:dyDescent="0.25">
      <c r="A948" s="3" t="s">
        <v>1520</v>
      </c>
      <c r="B948" s="3">
        <f xml:space="preserve"> gdsq + gqvp</f>
        <v>192</v>
      </c>
      <c r="C948" s="1"/>
    </row>
    <row r="949" spans="1:3" ht="17" x14ac:dyDescent="0.25">
      <c r="A949" s="3" t="s">
        <v>1522</v>
      </c>
      <c r="B949" s="3">
        <f xml:space="preserve"> bpqv * zngc</f>
        <v>297</v>
      </c>
      <c r="C949" s="1"/>
    </row>
    <row r="950" spans="1:3" ht="17" x14ac:dyDescent="0.25">
      <c r="A950" s="3" t="s">
        <v>1525</v>
      </c>
      <c r="B950" s="3">
        <f xml:space="preserve"> pngf * dlqt</f>
        <v>22</v>
      </c>
      <c r="C950" s="1"/>
    </row>
    <row r="951" spans="1:3" ht="17" x14ac:dyDescent="0.25">
      <c r="A951" s="3" t="s">
        <v>1527</v>
      </c>
      <c r="B951" s="3">
        <f>5</f>
        <v>5</v>
      </c>
      <c r="C951" s="1"/>
    </row>
    <row r="952" spans="1:3" ht="17" x14ac:dyDescent="0.25">
      <c r="A952" s="3" t="s">
        <v>1528</v>
      </c>
      <c r="B952" s="3">
        <f>2</f>
        <v>2</v>
      </c>
      <c r="C952" s="1"/>
    </row>
    <row r="953" spans="1:3" ht="17" x14ac:dyDescent="0.25">
      <c r="A953" s="3" t="s">
        <v>1529</v>
      </c>
      <c r="B953" s="3">
        <f>2</f>
        <v>2</v>
      </c>
      <c r="C953" s="1"/>
    </row>
    <row r="954" spans="1:3" ht="17" x14ac:dyDescent="0.25">
      <c r="A954" s="3" t="s">
        <v>1530</v>
      </c>
      <c r="B954" s="3">
        <f>6</f>
        <v>6</v>
      </c>
      <c r="C954" s="1"/>
    </row>
    <row r="955" spans="1:3" ht="17" x14ac:dyDescent="0.25">
      <c r="A955" s="3" t="s">
        <v>1001</v>
      </c>
      <c r="B955" s="3">
        <f>5</f>
        <v>5</v>
      </c>
      <c r="C955" s="1"/>
    </row>
    <row r="956" spans="1:3" ht="17" x14ac:dyDescent="0.25">
      <c r="A956" s="3" t="s">
        <v>1531</v>
      </c>
      <c r="B956" s="3">
        <f>5</f>
        <v>5</v>
      </c>
      <c r="C956" s="1"/>
    </row>
    <row r="957" spans="1:3" ht="17" x14ac:dyDescent="0.25">
      <c r="A957" s="3" t="s">
        <v>1532</v>
      </c>
      <c r="B957" s="3">
        <f>3</f>
        <v>3</v>
      </c>
      <c r="C957" s="1"/>
    </row>
    <row r="958" spans="1:3" ht="17" x14ac:dyDescent="0.25">
      <c r="A958" s="3" t="s">
        <v>1133</v>
      </c>
      <c r="B958" s="3">
        <f xml:space="preserve"> psww * hdjt</f>
        <v>33</v>
      </c>
      <c r="C958" s="1"/>
    </row>
    <row r="959" spans="1:3" ht="17" x14ac:dyDescent="0.25">
      <c r="A959" s="3" t="s">
        <v>1534</v>
      </c>
      <c r="B959" s="3">
        <f xml:space="preserve"> vrqj * lrjv</f>
        <v>6</v>
      </c>
      <c r="C959" s="1"/>
    </row>
    <row r="960" spans="1:3" ht="17" x14ac:dyDescent="0.25">
      <c r="A960" s="3" t="s">
        <v>771</v>
      </c>
      <c r="B960" s="3">
        <f xml:space="preserve"> mtns * znpv</f>
        <v>58</v>
      </c>
      <c r="C960" s="1"/>
    </row>
    <row r="961" spans="1:3" ht="17" x14ac:dyDescent="0.25">
      <c r="A961" s="3" t="s">
        <v>1537</v>
      </c>
      <c r="B961" s="3">
        <f>7</f>
        <v>7</v>
      </c>
      <c r="C961" s="1"/>
    </row>
    <row r="962" spans="1:3" ht="17" x14ac:dyDescent="0.25">
      <c r="A962" s="3" t="s">
        <v>1292</v>
      </c>
      <c r="B962" s="3">
        <f>18</f>
        <v>18</v>
      </c>
      <c r="C962" s="1"/>
    </row>
    <row r="963" spans="1:3" ht="17" x14ac:dyDescent="0.25">
      <c r="A963" s="3" t="s">
        <v>848</v>
      </c>
      <c r="B963" s="3">
        <f xml:space="preserve"> llpb * rcpw</f>
        <v>248</v>
      </c>
      <c r="C963" s="1"/>
    </row>
    <row r="964" spans="1:3" ht="17" x14ac:dyDescent="0.25">
      <c r="A964" s="3" t="s">
        <v>1044</v>
      </c>
      <c r="B964" s="3">
        <f xml:space="preserve"> fsdw * pzlb</f>
        <v>57</v>
      </c>
      <c r="C964" s="1"/>
    </row>
    <row r="965" spans="1:3" ht="17" x14ac:dyDescent="0.25">
      <c r="A965" s="3" t="s">
        <v>819</v>
      </c>
      <c r="B965" s="3">
        <f xml:space="preserve"> mjqq + hvfr</f>
        <v>254</v>
      </c>
      <c r="C965" s="1"/>
    </row>
    <row r="966" spans="1:3" ht="17" x14ac:dyDescent="0.25">
      <c r="A966" s="3" t="s">
        <v>1541</v>
      </c>
      <c r="B966" s="3">
        <f>5</f>
        <v>5</v>
      </c>
      <c r="C966" s="1"/>
    </row>
    <row r="967" spans="1:3" ht="17" x14ac:dyDescent="0.25">
      <c r="A967" s="3" t="s">
        <v>1098</v>
      </c>
      <c r="B967" s="3">
        <f xml:space="preserve"> jcfj + vbwq</f>
        <v>11</v>
      </c>
      <c r="C967" s="1"/>
    </row>
    <row r="968" spans="1:3" ht="17" x14ac:dyDescent="0.25">
      <c r="A968" s="3" t="s">
        <v>1543</v>
      </c>
      <c r="B968" s="3">
        <f>7</f>
        <v>7</v>
      </c>
      <c r="C968" s="1"/>
    </row>
    <row r="969" spans="1:3" ht="17" x14ac:dyDescent="0.25">
      <c r="A969" s="3" t="s">
        <v>1544</v>
      </c>
      <c r="B969" s="3">
        <f xml:space="preserve"> rghb * smvw</f>
        <v>102260302008672</v>
      </c>
      <c r="C969" s="1"/>
    </row>
    <row r="970" spans="1:3" ht="17" x14ac:dyDescent="0.25">
      <c r="A970" s="3" t="s">
        <v>517</v>
      </c>
      <c r="B970" s="3">
        <f>9</f>
        <v>9</v>
      </c>
      <c r="C970" s="1"/>
    </row>
    <row r="971" spans="1:3" ht="17" x14ac:dyDescent="0.25">
      <c r="A971" s="3" t="s">
        <v>1546</v>
      </c>
      <c r="B971" s="3">
        <f xml:space="preserve"> qzdf / ctcp</f>
        <v>7</v>
      </c>
      <c r="C971" s="1"/>
    </row>
    <row r="972" spans="1:3" ht="17" x14ac:dyDescent="0.25">
      <c r="A972" s="3" t="s">
        <v>1549</v>
      </c>
      <c r="B972" s="3">
        <f>2</f>
        <v>2</v>
      </c>
      <c r="C972" s="1"/>
    </row>
    <row r="973" spans="1:3" ht="17" x14ac:dyDescent="0.25">
      <c r="A973" s="3" t="s">
        <v>1550</v>
      </c>
      <c r="B973" s="3">
        <f>4</f>
        <v>4</v>
      </c>
      <c r="C973" s="1"/>
    </row>
    <row r="974" spans="1:3" ht="17" x14ac:dyDescent="0.25">
      <c r="A974" s="3" t="s">
        <v>645</v>
      </c>
      <c r="B974" s="3">
        <f>6</f>
        <v>6</v>
      </c>
      <c r="C974" s="1"/>
    </row>
    <row r="975" spans="1:3" ht="17" x14ac:dyDescent="0.25">
      <c r="A975" s="3" t="s">
        <v>1468</v>
      </c>
      <c r="B975" s="3">
        <f xml:space="preserve"> glqg * qmjb</f>
        <v>24</v>
      </c>
      <c r="C975" s="1"/>
    </row>
    <row r="976" spans="1:3" ht="17" x14ac:dyDescent="0.25">
      <c r="A976" s="3" t="s">
        <v>1553</v>
      </c>
      <c r="B976" s="3">
        <f>3</f>
        <v>3</v>
      </c>
      <c r="C976" s="1"/>
    </row>
    <row r="977" spans="1:3" ht="17" x14ac:dyDescent="0.25">
      <c r="A977" s="3" t="s">
        <v>1554</v>
      </c>
      <c r="B977" s="3">
        <f xml:space="preserve"> mlhs * pndw</f>
        <v>32</v>
      </c>
      <c r="C977" s="1"/>
    </row>
    <row r="978" spans="1:3" ht="17" x14ac:dyDescent="0.25">
      <c r="A978" s="3" t="s">
        <v>1557</v>
      </c>
      <c r="B978" s="3">
        <f>19</f>
        <v>19</v>
      </c>
      <c r="C978" s="1"/>
    </row>
    <row r="979" spans="1:3" ht="17" x14ac:dyDescent="0.25">
      <c r="A979" s="3" t="s">
        <v>1558</v>
      </c>
      <c r="B979" s="3">
        <f xml:space="preserve"> mpfd * sdjd</f>
        <v>25</v>
      </c>
      <c r="C979" s="1"/>
    </row>
    <row r="980" spans="1:3" ht="17" x14ac:dyDescent="0.25">
      <c r="A980" s="3" t="s">
        <v>1560</v>
      </c>
      <c r="B980" s="3">
        <f xml:space="preserve"> qsgb * bfwn</f>
        <v>19573149</v>
      </c>
      <c r="C980" s="1"/>
    </row>
    <row r="981" spans="1:3" ht="17" x14ac:dyDescent="0.25">
      <c r="A981" s="3" t="s">
        <v>1562</v>
      </c>
      <c r="B981" s="3">
        <f xml:space="preserve"> hphz + lhpt</f>
        <v>210</v>
      </c>
      <c r="C981" s="1"/>
    </row>
    <row r="982" spans="1:3" ht="17" x14ac:dyDescent="0.25">
      <c r="A982" s="3" t="s">
        <v>1564</v>
      </c>
      <c r="B982" s="3">
        <f>4</f>
        <v>4</v>
      </c>
      <c r="C982" s="1"/>
    </row>
    <row r="983" spans="1:3" ht="17" x14ac:dyDescent="0.25">
      <c r="A983" s="3" t="s">
        <v>1565</v>
      </c>
      <c r="B983" s="3">
        <f xml:space="preserve"> mbbj + sdcr</f>
        <v>94</v>
      </c>
      <c r="C983" s="1"/>
    </row>
    <row r="984" spans="1:3" ht="17" x14ac:dyDescent="0.25">
      <c r="A984" s="3" t="s">
        <v>1567</v>
      </c>
      <c r="B984" s="3">
        <f>4</f>
        <v>4</v>
      </c>
      <c r="C984" s="1"/>
    </row>
    <row r="985" spans="1:3" ht="17" x14ac:dyDescent="0.25">
      <c r="A985" s="3" t="s">
        <v>1568</v>
      </c>
      <c r="B985" s="3">
        <f xml:space="preserve"> zgvc + llzw</f>
        <v>23</v>
      </c>
      <c r="C985" s="1"/>
    </row>
    <row r="986" spans="1:3" ht="17" x14ac:dyDescent="0.25">
      <c r="A986" s="3" t="s">
        <v>1570</v>
      </c>
      <c r="B986" s="3">
        <f>3</f>
        <v>3</v>
      </c>
      <c r="C986" s="1"/>
    </row>
    <row r="987" spans="1:3" ht="17" x14ac:dyDescent="0.25">
      <c r="A987" s="3" t="s">
        <v>226</v>
      </c>
      <c r="B987" s="3">
        <f>4</f>
        <v>4</v>
      </c>
      <c r="C987" s="1"/>
    </row>
    <row r="988" spans="1:3" ht="17" x14ac:dyDescent="0.25">
      <c r="A988" s="3" t="s">
        <v>1441</v>
      </c>
      <c r="B988" s="3">
        <f>16</f>
        <v>16</v>
      </c>
      <c r="C988" s="1"/>
    </row>
    <row r="989" spans="1:3" ht="17" x14ac:dyDescent="0.25">
      <c r="A989" s="3" t="s">
        <v>356</v>
      </c>
      <c r="B989" s="3">
        <f xml:space="preserve"> jtdd / cqtz</f>
        <v>49</v>
      </c>
      <c r="C989" s="1"/>
    </row>
    <row r="990" spans="1:3" ht="17" x14ac:dyDescent="0.25">
      <c r="A990" s="3" t="s">
        <v>655</v>
      </c>
      <c r="B990" s="3">
        <f>3</f>
        <v>3</v>
      </c>
      <c r="C990" s="1"/>
    </row>
    <row r="991" spans="1:3" ht="17" x14ac:dyDescent="0.25">
      <c r="A991" s="3" t="s">
        <v>1542</v>
      </c>
      <c r="B991" s="3">
        <f xml:space="preserve"> fmnv * nhtd</f>
        <v>8</v>
      </c>
      <c r="C991" s="1"/>
    </row>
    <row r="992" spans="1:3" ht="17" x14ac:dyDescent="0.25">
      <c r="A992" s="3" t="s">
        <v>629</v>
      </c>
      <c r="B992" s="3">
        <f xml:space="preserve"> cvdp * shcz</f>
        <v>102260302002010</v>
      </c>
      <c r="C992" s="1"/>
    </row>
    <row r="993" spans="1:3" ht="17" x14ac:dyDescent="0.25">
      <c r="A993" s="3" t="s">
        <v>1575</v>
      </c>
      <c r="B993" s="3">
        <f xml:space="preserve"> gcjd * fmds</f>
        <v>1347</v>
      </c>
      <c r="C993" s="1"/>
    </row>
    <row r="994" spans="1:3" ht="17" x14ac:dyDescent="0.25">
      <c r="A994" s="3" t="s">
        <v>1289</v>
      </c>
      <c r="B994" s="3">
        <f>4</f>
        <v>4</v>
      </c>
      <c r="C994" s="1"/>
    </row>
    <row r="995" spans="1:3" ht="17" x14ac:dyDescent="0.25">
      <c r="A995" s="3" t="s">
        <v>1577</v>
      </c>
      <c r="B995" s="3">
        <f>2</f>
        <v>2</v>
      </c>
      <c r="C995" s="1"/>
    </row>
    <row r="996" spans="1:3" ht="17" x14ac:dyDescent="0.25">
      <c r="A996" s="3" t="s">
        <v>1578</v>
      </c>
      <c r="B996" s="3">
        <f xml:space="preserve"> prvz * wvwh</f>
        <v>84</v>
      </c>
      <c r="C996" s="1"/>
    </row>
    <row r="997" spans="1:3" ht="17" x14ac:dyDescent="0.25">
      <c r="A997" s="3" t="s">
        <v>843</v>
      </c>
      <c r="B997" s="3">
        <f>2</f>
        <v>2</v>
      </c>
      <c r="C997" s="1"/>
    </row>
    <row r="998" spans="1:3" ht="17" x14ac:dyDescent="0.25">
      <c r="A998" s="3" t="s">
        <v>504</v>
      </c>
      <c r="B998" s="3">
        <f>2</f>
        <v>2</v>
      </c>
      <c r="C998" s="1"/>
    </row>
    <row r="999" spans="1:3" ht="17" x14ac:dyDescent="0.25">
      <c r="A999" s="3" t="s">
        <v>1581</v>
      </c>
      <c r="B999" s="3">
        <f>3</f>
        <v>3</v>
      </c>
      <c r="C999" s="1"/>
    </row>
    <row r="1000" spans="1:3" ht="17" x14ac:dyDescent="0.25">
      <c r="A1000" s="3" t="s">
        <v>1510</v>
      </c>
      <c r="B1000" s="3">
        <f>2</f>
        <v>2</v>
      </c>
      <c r="C1000" s="1"/>
    </row>
    <row r="1001" spans="1:3" ht="17" x14ac:dyDescent="0.25">
      <c r="A1001" s="3" t="s">
        <v>1582</v>
      </c>
      <c r="B1001" s="3">
        <f xml:space="preserve"> hcsn - vbbl</f>
        <v>4969</v>
      </c>
      <c r="C1001" s="1"/>
    </row>
    <row r="1002" spans="1:3" ht="17" x14ac:dyDescent="0.25">
      <c r="A1002" s="3" t="s">
        <v>260</v>
      </c>
      <c r="B1002" s="3">
        <f xml:space="preserve"> lpfg * tttq</f>
        <v>10</v>
      </c>
      <c r="C1002" s="1"/>
    </row>
    <row r="1003" spans="1:3" ht="17" x14ac:dyDescent="0.25">
      <c r="A1003" s="3" t="s">
        <v>1586</v>
      </c>
      <c r="B1003" s="3">
        <f>5</f>
        <v>5</v>
      </c>
      <c r="C1003" s="1"/>
    </row>
    <row r="1004" spans="1:3" ht="17" x14ac:dyDescent="0.25">
      <c r="A1004" s="3" t="s">
        <v>584</v>
      </c>
      <c r="B1004" s="3">
        <f>10</f>
        <v>10</v>
      </c>
      <c r="C1004" s="1"/>
    </row>
    <row r="1005" spans="1:3" ht="17" x14ac:dyDescent="0.25">
      <c r="A1005" s="3" t="s">
        <v>1587</v>
      </c>
      <c r="B1005" s="3">
        <f xml:space="preserve"> cvfz * dngr</f>
        <v>21</v>
      </c>
      <c r="C1005" s="1"/>
    </row>
    <row r="1006" spans="1:3" ht="17" x14ac:dyDescent="0.25">
      <c r="A1006" s="3" t="s">
        <v>1272</v>
      </c>
      <c r="B1006" s="3">
        <f>3</f>
        <v>3</v>
      </c>
      <c r="C1006" s="1"/>
    </row>
    <row r="1007" spans="1:3" ht="17" x14ac:dyDescent="0.25">
      <c r="A1007" s="3" t="s">
        <v>1275</v>
      </c>
      <c r="B1007" s="3">
        <f>3</f>
        <v>3</v>
      </c>
      <c r="C1007" s="1"/>
    </row>
    <row r="1008" spans="1:3" ht="17" x14ac:dyDescent="0.25">
      <c r="A1008" s="3" t="s">
        <v>1589</v>
      </c>
      <c r="B1008" s="3">
        <f>5</f>
        <v>5</v>
      </c>
      <c r="C1008" s="1"/>
    </row>
    <row r="1009" spans="1:3" ht="17" x14ac:dyDescent="0.25">
      <c r="A1009" s="3" t="s">
        <v>1590</v>
      </c>
      <c r="B1009" s="3">
        <f>4</f>
        <v>4</v>
      </c>
      <c r="C1009" s="1"/>
    </row>
    <row r="1010" spans="1:3" ht="17" x14ac:dyDescent="0.25">
      <c r="A1010" s="3" t="s">
        <v>1591</v>
      </c>
      <c r="B1010" s="3">
        <f xml:space="preserve"> wwvv + mqnf</f>
        <v>11362255778739</v>
      </c>
      <c r="C1010" s="1"/>
    </row>
    <row r="1011" spans="1:3" ht="17" x14ac:dyDescent="0.25">
      <c r="A1011" s="3" t="s">
        <v>1594</v>
      </c>
      <c r="B1011" s="3">
        <f xml:space="preserve"> svfq + nmjh</f>
        <v>29</v>
      </c>
      <c r="C1011" s="1"/>
    </row>
    <row r="1012" spans="1:3" ht="17" x14ac:dyDescent="0.25">
      <c r="A1012" s="3" t="s">
        <v>323</v>
      </c>
      <c r="B1012" s="3">
        <f>2</f>
        <v>2</v>
      </c>
      <c r="C1012" s="1"/>
    </row>
    <row r="1013" spans="1:3" ht="17" x14ac:dyDescent="0.25">
      <c r="A1013" s="3" t="s">
        <v>1597</v>
      </c>
      <c r="B1013" s="3">
        <f>8</f>
        <v>8</v>
      </c>
      <c r="C1013" s="1"/>
    </row>
    <row r="1014" spans="1:3" ht="17" x14ac:dyDescent="0.25">
      <c r="A1014" s="3" t="s">
        <v>1598</v>
      </c>
      <c r="B1014" s="3">
        <f xml:space="preserve"> cwvm + jtwm</f>
        <v>56</v>
      </c>
      <c r="C1014" s="1"/>
    </row>
    <row r="1015" spans="1:3" ht="17" x14ac:dyDescent="0.25">
      <c r="A1015" s="3" t="s">
        <v>1352</v>
      </c>
      <c r="B1015" s="3">
        <f>12</f>
        <v>12</v>
      </c>
      <c r="C1015" s="1"/>
    </row>
    <row r="1016" spans="1:3" ht="17" x14ac:dyDescent="0.25">
      <c r="A1016" s="3" t="s">
        <v>1601</v>
      </c>
      <c r="B1016" s="3">
        <f xml:space="preserve"> vfmb + jrnr</f>
        <v>163</v>
      </c>
      <c r="C1016" s="1"/>
    </row>
    <row r="1017" spans="1:3" ht="17" x14ac:dyDescent="0.25">
      <c r="A1017" s="3" t="s">
        <v>1604</v>
      </c>
      <c r="B1017" s="3">
        <f>2</f>
        <v>2</v>
      </c>
      <c r="C1017" s="1"/>
    </row>
    <row r="1018" spans="1:3" ht="17" x14ac:dyDescent="0.25">
      <c r="A1018" s="3" t="s">
        <v>828</v>
      </c>
      <c r="B1018" s="3">
        <f>7</f>
        <v>7</v>
      </c>
      <c r="C1018" s="1"/>
    </row>
    <row r="1019" spans="1:3" ht="17" x14ac:dyDescent="0.25">
      <c r="A1019" s="3" t="s">
        <v>1605</v>
      </c>
      <c r="B1019" s="3">
        <f>1</f>
        <v>1</v>
      </c>
      <c r="C1019" s="1"/>
    </row>
    <row r="1020" spans="1:3" ht="17" x14ac:dyDescent="0.25">
      <c r="A1020" s="3" t="s">
        <v>1606</v>
      </c>
      <c r="B1020" s="3">
        <f>4</f>
        <v>4</v>
      </c>
      <c r="C1020" s="1"/>
    </row>
    <row r="1021" spans="1:3" ht="17" x14ac:dyDescent="0.25">
      <c r="A1021" s="3" t="s">
        <v>1010</v>
      </c>
      <c r="B1021" s="3">
        <f xml:space="preserve"> gfzs * dbzh</f>
        <v>30</v>
      </c>
      <c r="C1021" s="1"/>
    </row>
    <row r="1022" spans="1:3" ht="17" x14ac:dyDescent="0.25">
      <c r="A1022" s="3" t="s">
        <v>588</v>
      </c>
      <c r="B1022" s="3">
        <f>2</f>
        <v>2</v>
      </c>
      <c r="C1022" s="1"/>
    </row>
    <row r="1023" spans="1:3" ht="17" x14ac:dyDescent="0.25">
      <c r="A1023" s="3" t="s">
        <v>1608</v>
      </c>
      <c r="B1023" s="3">
        <f>12</f>
        <v>12</v>
      </c>
      <c r="C1023" s="1"/>
    </row>
    <row r="1024" spans="1:3" ht="17" x14ac:dyDescent="0.25">
      <c r="A1024" s="3" t="s">
        <v>718</v>
      </c>
      <c r="B1024" s="3">
        <f xml:space="preserve"> rnlj * djcf</f>
        <v>39</v>
      </c>
      <c r="C1024" s="1"/>
    </row>
    <row r="1025" spans="1:3" ht="17" x14ac:dyDescent="0.25">
      <c r="A1025" s="3" t="s">
        <v>1610</v>
      </c>
      <c r="B1025" s="3">
        <f xml:space="preserve"> tbrw * wbqs</f>
        <v>26</v>
      </c>
      <c r="C1025" s="1"/>
    </row>
    <row r="1026" spans="1:3" ht="17" x14ac:dyDescent="0.25">
      <c r="A1026" s="3" t="s">
        <v>1613</v>
      </c>
      <c r="B1026" s="3">
        <f xml:space="preserve"> tjmg - zgqm</f>
        <v>26511930147946</v>
      </c>
      <c r="C1026" s="1"/>
    </row>
    <row r="1027" spans="1:3" ht="17" x14ac:dyDescent="0.25">
      <c r="A1027" s="3" t="s">
        <v>1615</v>
      </c>
      <c r="B1027" s="3">
        <f xml:space="preserve"> tzcn * cwff</f>
        <v>58</v>
      </c>
      <c r="C1027" s="1"/>
    </row>
    <row r="1028" spans="1:3" ht="17" x14ac:dyDescent="0.25">
      <c r="A1028" s="3" t="s">
        <v>1618</v>
      </c>
      <c r="B1028" s="3">
        <f>3</f>
        <v>3</v>
      </c>
      <c r="C1028" s="1"/>
    </row>
    <row r="1029" spans="1:3" ht="17" x14ac:dyDescent="0.25">
      <c r="A1029" s="3" t="s">
        <v>1619</v>
      </c>
      <c r="B1029" s="3">
        <f xml:space="preserve"> qgbp - hvqz</f>
        <v>25565075502064</v>
      </c>
      <c r="C1029" s="1"/>
    </row>
    <row r="1030" spans="1:3" ht="17" x14ac:dyDescent="0.25">
      <c r="A1030" s="3" t="s">
        <v>1622</v>
      </c>
      <c r="B1030" s="3">
        <f>3</f>
        <v>3</v>
      </c>
      <c r="C1030" s="1"/>
    </row>
    <row r="1031" spans="1:3" ht="17" x14ac:dyDescent="0.25">
      <c r="A1031" s="3" t="s">
        <v>1623</v>
      </c>
      <c r="B1031" s="3">
        <f>6</f>
        <v>6</v>
      </c>
      <c r="C1031" s="1"/>
    </row>
    <row r="1032" spans="1:3" ht="17" x14ac:dyDescent="0.25">
      <c r="A1032" s="3" t="s">
        <v>1624</v>
      </c>
      <c r="B1032" s="3">
        <f>2</f>
        <v>2</v>
      </c>
      <c r="C1032" s="1"/>
    </row>
    <row r="1033" spans="1:3" ht="17" x14ac:dyDescent="0.25">
      <c r="A1033" s="3" t="s">
        <v>707</v>
      </c>
      <c r="B1033" s="3">
        <f>2</f>
        <v>2</v>
      </c>
      <c r="C1033" s="1"/>
    </row>
    <row r="1034" spans="1:3" ht="17" x14ac:dyDescent="0.25">
      <c r="A1034" s="3" t="s">
        <v>459</v>
      </c>
      <c r="B1034" s="3">
        <f>3</f>
        <v>3</v>
      </c>
      <c r="C1034" s="1"/>
    </row>
    <row r="1035" spans="1:3" ht="17" x14ac:dyDescent="0.25">
      <c r="A1035" s="3" t="s">
        <v>200</v>
      </c>
      <c r="B1035" s="3">
        <f>3</f>
        <v>3</v>
      </c>
      <c r="C1035" s="1"/>
    </row>
    <row r="1036" spans="1:3" ht="17" x14ac:dyDescent="0.25">
      <c r="A1036" s="3" t="s">
        <v>1625</v>
      </c>
      <c r="B1036" s="3">
        <f>1</f>
        <v>1</v>
      </c>
      <c r="C1036" s="1"/>
    </row>
    <row r="1037" spans="1:3" ht="17" x14ac:dyDescent="0.25">
      <c r="A1037" s="3" t="s">
        <v>1626</v>
      </c>
      <c r="B1037" s="3">
        <f>1</f>
        <v>1</v>
      </c>
      <c r="C1037" s="1"/>
    </row>
    <row r="1038" spans="1:3" ht="17" x14ac:dyDescent="0.25">
      <c r="A1038" s="3" t="s">
        <v>1627</v>
      </c>
      <c r="B1038" s="3">
        <f xml:space="preserve"> dmcb * mfjv</f>
        <v>238607371331178</v>
      </c>
      <c r="C1038" s="1"/>
    </row>
    <row r="1039" spans="1:3" ht="17" x14ac:dyDescent="0.25">
      <c r="A1039" s="3" t="s">
        <v>1630</v>
      </c>
      <c r="B1039" s="3">
        <f>13</f>
        <v>13</v>
      </c>
      <c r="C1039" s="1"/>
    </row>
    <row r="1040" spans="1:3" ht="17" x14ac:dyDescent="0.25">
      <c r="A1040" s="3" t="s">
        <v>1213</v>
      </c>
      <c r="B1040" s="3">
        <f xml:space="preserve"> wzjb * pfsv</f>
        <v>38</v>
      </c>
      <c r="C1040" s="1"/>
    </row>
    <row r="1041" spans="1:3" ht="17" x14ac:dyDescent="0.25">
      <c r="A1041" s="3" t="s">
        <v>1633</v>
      </c>
      <c r="B1041" s="3">
        <f xml:space="preserve"> sjrj + chsw</f>
        <v>12084</v>
      </c>
      <c r="C1041" s="1"/>
    </row>
    <row r="1042" spans="1:3" ht="17" x14ac:dyDescent="0.25">
      <c r="A1042" s="3" t="s">
        <v>1635</v>
      </c>
      <c r="B1042" s="3">
        <f xml:space="preserve"> twzm + sqrv</f>
        <v>137</v>
      </c>
      <c r="C1042" s="1"/>
    </row>
    <row r="1043" spans="1:3" ht="17" x14ac:dyDescent="0.25">
      <c r="A1043" s="3" t="s">
        <v>1408</v>
      </c>
      <c r="B1043" s="3">
        <f xml:space="preserve"> zbhz * vdwr</f>
        <v>6</v>
      </c>
      <c r="C1043" s="1"/>
    </row>
    <row r="1044" spans="1:3" ht="17" x14ac:dyDescent="0.25">
      <c r="A1044" s="3" t="s">
        <v>1638</v>
      </c>
      <c r="B1044" s="3">
        <f xml:space="preserve"> pgph / pcmd</f>
        <v>44</v>
      </c>
      <c r="C1044" s="1"/>
    </row>
    <row r="1045" spans="1:3" ht="17" x14ac:dyDescent="0.25">
      <c r="A1045" s="3" t="s">
        <v>1640</v>
      </c>
      <c r="B1045" s="3">
        <f xml:space="preserve"> tpgv / hzhr</f>
        <v>17</v>
      </c>
      <c r="C1045" s="1"/>
    </row>
    <row r="1046" spans="1:3" ht="17" x14ac:dyDescent="0.25">
      <c r="A1046" s="3" t="s">
        <v>1642</v>
      </c>
      <c r="B1046" s="3">
        <f xml:space="preserve"> grnh + ttff</f>
        <v>359</v>
      </c>
      <c r="C1046" s="1"/>
    </row>
    <row r="1047" spans="1:3" ht="17" x14ac:dyDescent="0.25">
      <c r="A1047" s="3" t="s">
        <v>1644</v>
      </c>
      <c r="B1047" s="3">
        <f>2</f>
        <v>2</v>
      </c>
      <c r="C1047" s="1"/>
    </row>
    <row r="1048" spans="1:3" ht="17" x14ac:dyDescent="0.25">
      <c r="A1048" s="3" t="s">
        <v>1645</v>
      </c>
      <c r="B1048" s="3">
        <f xml:space="preserve"> jqdw * dftz</f>
        <v>432</v>
      </c>
      <c r="C1048" s="1"/>
    </row>
    <row r="1049" spans="1:3" ht="17" x14ac:dyDescent="0.25">
      <c r="A1049" s="3" t="s">
        <v>1648</v>
      </c>
      <c r="B1049" s="3">
        <f>3</f>
        <v>3</v>
      </c>
      <c r="C1049" s="1"/>
    </row>
    <row r="1050" spans="1:3" ht="17" x14ac:dyDescent="0.25">
      <c r="A1050" s="3" t="s">
        <v>1649</v>
      </c>
      <c r="B1050" s="3">
        <f xml:space="preserve"> jnqr + rcqf</f>
        <v>23</v>
      </c>
      <c r="C1050" s="1"/>
    </row>
    <row r="1051" spans="1:3" ht="17" x14ac:dyDescent="0.25">
      <c r="A1051" s="3" t="s">
        <v>1007</v>
      </c>
      <c r="B1051" s="3">
        <f>2</f>
        <v>2</v>
      </c>
      <c r="C1051" s="1"/>
    </row>
    <row r="1052" spans="1:3" ht="17" x14ac:dyDescent="0.25">
      <c r="A1052" s="3" t="s">
        <v>481</v>
      </c>
      <c r="B1052" s="3">
        <f xml:space="preserve"> hdpt * qdcn</f>
        <v>6</v>
      </c>
      <c r="C1052" s="1"/>
    </row>
    <row r="1053" spans="1:3" ht="17" x14ac:dyDescent="0.25">
      <c r="A1053" s="3" t="s">
        <v>392</v>
      </c>
      <c r="B1053" s="3">
        <f xml:space="preserve"> hmwf + mmlh</f>
        <v>57</v>
      </c>
      <c r="C1053" s="1"/>
    </row>
    <row r="1054" spans="1:3" ht="17" x14ac:dyDescent="0.25">
      <c r="A1054" s="3" t="s">
        <v>1653</v>
      </c>
      <c r="B1054" s="3">
        <f xml:space="preserve"> zwhd * lhcg</f>
        <v>21</v>
      </c>
      <c r="C1054" s="1"/>
    </row>
    <row r="1055" spans="1:3" ht="17" x14ac:dyDescent="0.25">
      <c r="A1055" s="3" t="s">
        <v>966</v>
      </c>
      <c r="B1055" s="3">
        <f xml:space="preserve"> zgtr / qgdc</f>
        <v>2112</v>
      </c>
      <c r="C1055" s="1"/>
    </row>
    <row r="1056" spans="1:3" ht="17" x14ac:dyDescent="0.25">
      <c r="A1056" s="3" t="s">
        <v>1657</v>
      </c>
      <c r="B1056" s="3">
        <f>2</f>
        <v>2</v>
      </c>
      <c r="C1056" s="1"/>
    </row>
    <row r="1057" spans="1:3" ht="17" x14ac:dyDescent="0.25">
      <c r="A1057" s="3" t="s">
        <v>1658</v>
      </c>
      <c r="B1057" s="3">
        <f>2</f>
        <v>2</v>
      </c>
      <c r="C1057" s="1"/>
    </row>
    <row r="1058" spans="1:3" ht="17" x14ac:dyDescent="0.25">
      <c r="A1058" s="3" t="s">
        <v>1659</v>
      </c>
      <c r="B1058" s="3">
        <f>18</f>
        <v>18</v>
      </c>
      <c r="C1058" s="1"/>
    </row>
    <row r="1059" spans="1:3" ht="17" x14ac:dyDescent="0.25">
      <c r="A1059" s="3" t="s">
        <v>453</v>
      </c>
      <c r="B1059" s="3">
        <f xml:space="preserve"> sdwr + qdhs</f>
        <v>397</v>
      </c>
      <c r="C1059" s="1"/>
    </row>
    <row r="1060" spans="1:3" ht="17" x14ac:dyDescent="0.25">
      <c r="A1060" s="3" t="s">
        <v>684</v>
      </c>
      <c r="B1060" s="3">
        <f>2</f>
        <v>2</v>
      </c>
      <c r="C1060" s="1"/>
    </row>
    <row r="1061" spans="1:3" ht="17" x14ac:dyDescent="0.25">
      <c r="A1061" s="3" t="s">
        <v>475</v>
      </c>
      <c r="B1061" s="3">
        <f>14</f>
        <v>14</v>
      </c>
      <c r="C1061" s="1"/>
    </row>
    <row r="1062" spans="1:3" ht="17" x14ac:dyDescent="0.25">
      <c r="A1062" s="3" t="s">
        <v>1661</v>
      </c>
      <c r="B1062" s="3">
        <f>2</f>
        <v>2</v>
      </c>
      <c r="C1062" s="1"/>
    </row>
    <row r="1063" spans="1:3" ht="17" x14ac:dyDescent="0.25">
      <c r="A1063" s="3" t="s">
        <v>1662</v>
      </c>
      <c r="B1063" s="3">
        <f xml:space="preserve"> hwbw * lqht</f>
        <v>11430777145</v>
      </c>
      <c r="C1063" s="1"/>
    </row>
    <row r="1064" spans="1:3" ht="17" x14ac:dyDescent="0.25">
      <c r="A1064" s="3" t="s">
        <v>1665</v>
      </c>
      <c r="B1064" s="3">
        <f>5</f>
        <v>5</v>
      </c>
      <c r="C1064" s="1"/>
    </row>
    <row r="1065" spans="1:3" ht="17" x14ac:dyDescent="0.25">
      <c r="A1065" s="3" t="s">
        <v>1146</v>
      </c>
      <c r="B1065" s="3">
        <f xml:space="preserve"> gqgj * vbdd</f>
        <v>237</v>
      </c>
      <c r="C1065" s="1"/>
    </row>
    <row r="1066" spans="1:3" ht="17" x14ac:dyDescent="0.25">
      <c r="A1066" s="3" t="s">
        <v>1668</v>
      </c>
      <c r="B1066" s="3">
        <f>2</f>
        <v>2</v>
      </c>
      <c r="C1066" s="1"/>
    </row>
    <row r="1067" spans="1:3" ht="17" x14ac:dyDescent="0.25">
      <c r="A1067" s="3" t="s">
        <v>458</v>
      </c>
      <c r="B1067" s="3">
        <f xml:space="preserve"> tdcc + mqrc</f>
        <v>17</v>
      </c>
      <c r="C1067" s="1"/>
    </row>
    <row r="1068" spans="1:3" ht="17" x14ac:dyDescent="0.25">
      <c r="A1068" s="3" t="s">
        <v>1671</v>
      </c>
      <c r="B1068" s="3">
        <f>3</f>
        <v>3</v>
      </c>
      <c r="C1068" s="1"/>
    </row>
    <row r="1069" spans="1:3" ht="17" x14ac:dyDescent="0.25">
      <c r="A1069" s="3" t="s">
        <v>1672</v>
      </c>
      <c r="B1069" s="3">
        <f>5</f>
        <v>5</v>
      </c>
      <c r="C1069" s="1"/>
    </row>
    <row r="1070" spans="1:3" ht="17" x14ac:dyDescent="0.25">
      <c r="A1070" s="3" t="s">
        <v>1673</v>
      </c>
      <c r="B1070" s="3">
        <f xml:space="preserve"> brlz * hbjc</f>
        <v>245</v>
      </c>
      <c r="C1070" s="1"/>
    </row>
    <row r="1071" spans="1:3" ht="17" x14ac:dyDescent="0.25">
      <c r="A1071" s="3" t="s">
        <v>1675</v>
      </c>
      <c r="B1071" s="3">
        <f xml:space="preserve"> qfsr * cfch</f>
        <v>33</v>
      </c>
      <c r="C1071" s="1"/>
    </row>
    <row r="1072" spans="1:3" ht="17" x14ac:dyDescent="0.25">
      <c r="A1072" s="3" t="s">
        <v>1677</v>
      </c>
      <c r="B1072" s="3">
        <f>2</f>
        <v>2</v>
      </c>
      <c r="C1072" s="1"/>
    </row>
    <row r="1073" spans="1:3" ht="17" x14ac:dyDescent="0.25">
      <c r="A1073" s="3" t="s">
        <v>446</v>
      </c>
      <c r="B1073" s="3">
        <f>3</f>
        <v>3</v>
      </c>
      <c r="C1073" s="1"/>
    </row>
    <row r="1074" spans="1:3" ht="17" x14ac:dyDescent="0.25">
      <c r="A1074" s="3" t="s">
        <v>1678</v>
      </c>
      <c r="B1074" s="3">
        <f>16</f>
        <v>16</v>
      </c>
      <c r="C1074" s="1"/>
    </row>
    <row r="1075" spans="1:3" ht="17" x14ac:dyDescent="0.25">
      <c r="A1075" s="3" t="s">
        <v>1054</v>
      </c>
      <c r="B1075" s="3">
        <f xml:space="preserve"> jsqt + cpjn</f>
        <v>17</v>
      </c>
      <c r="C1075" s="1"/>
    </row>
    <row r="1076" spans="1:3" ht="17" x14ac:dyDescent="0.25">
      <c r="A1076" s="3" t="s">
        <v>1681</v>
      </c>
      <c r="B1076" s="3">
        <f xml:space="preserve"> czqn * nrdv</f>
        <v>355</v>
      </c>
      <c r="C1076" s="1"/>
    </row>
    <row r="1077" spans="1:3" ht="17" x14ac:dyDescent="0.25">
      <c r="A1077" s="3" t="s">
        <v>1684</v>
      </c>
      <c r="B1077" s="3">
        <f xml:space="preserve"> gqqr + zpsb</f>
        <v>277</v>
      </c>
      <c r="C1077" s="1"/>
    </row>
    <row r="1078" spans="1:3" ht="17" x14ac:dyDescent="0.25">
      <c r="A1078" s="3" t="s">
        <v>1686</v>
      </c>
      <c r="B1078" s="3">
        <f>5</f>
        <v>5</v>
      </c>
      <c r="C1078" s="1"/>
    </row>
    <row r="1079" spans="1:3" ht="17" x14ac:dyDescent="0.25">
      <c r="A1079" s="3" t="s">
        <v>1172</v>
      </c>
      <c r="B1079" s="3">
        <f xml:space="preserve"> qpwv - zjps</f>
        <v>59</v>
      </c>
      <c r="C1079" s="1"/>
    </row>
    <row r="1080" spans="1:3" ht="17" x14ac:dyDescent="0.25">
      <c r="A1080" s="3" t="s">
        <v>369</v>
      </c>
      <c r="B1080" s="3">
        <f>5</f>
        <v>5</v>
      </c>
      <c r="C1080" s="1"/>
    </row>
    <row r="1081" spans="1:3" ht="17" x14ac:dyDescent="0.25">
      <c r="A1081" s="3" t="s">
        <v>1580</v>
      </c>
      <c r="B1081" s="3">
        <f>4</f>
        <v>4</v>
      </c>
      <c r="C1081" s="1"/>
    </row>
    <row r="1082" spans="1:3" ht="17" x14ac:dyDescent="0.25">
      <c r="A1082" s="3" t="s">
        <v>5</v>
      </c>
      <c r="B1082" s="3">
        <f>5</f>
        <v>5</v>
      </c>
      <c r="C1082" s="1"/>
    </row>
    <row r="1083" spans="1:3" ht="17" x14ac:dyDescent="0.25">
      <c r="A1083" s="3" t="s">
        <v>1689</v>
      </c>
      <c r="B1083" s="3">
        <f>2</f>
        <v>2</v>
      </c>
      <c r="C1083" s="1"/>
    </row>
    <row r="1084" spans="1:3" ht="17" x14ac:dyDescent="0.25">
      <c r="A1084" s="3" t="s">
        <v>859</v>
      </c>
      <c r="B1084" s="3">
        <f>14</f>
        <v>14</v>
      </c>
      <c r="C1084" s="1"/>
    </row>
    <row r="1085" spans="1:3" ht="17" x14ac:dyDescent="0.25">
      <c r="A1085" s="3" t="s">
        <v>521</v>
      </c>
      <c r="B1085" s="3">
        <f xml:space="preserve"> npnv * dvww</f>
        <v>25</v>
      </c>
      <c r="C1085" s="1"/>
    </row>
    <row r="1086" spans="1:3" ht="17" x14ac:dyDescent="0.25">
      <c r="A1086" s="3" t="s">
        <v>1271</v>
      </c>
      <c r="B1086" s="3">
        <f>3</f>
        <v>3</v>
      </c>
      <c r="C1086" s="1"/>
    </row>
    <row r="1087" spans="1:3" ht="17" x14ac:dyDescent="0.25">
      <c r="A1087" s="3" t="s">
        <v>365</v>
      </c>
      <c r="B1087" s="3">
        <f>7</f>
        <v>7</v>
      </c>
      <c r="C1087" s="1"/>
    </row>
    <row r="1088" spans="1:3" ht="17" x14ac:dyDescent="0.25">
      <c r="A1088" s="3" t="s">
        <v>1691</v>
      </c>
      <c r="B1088" s="3">
        <f>8</f>
        <v>8</v>
      </c>
      <c r="C1088" s="1"/>
    </row>
    <row r="1089" spans="1:3" ht="17" x14ac:dyDescent="0.25">
      <c r="A1089" s="3" t="s">
        <v>1539</v>
      </c>
      <c r="B1089" s="3">
        <f xml:space="preserve"> fgcz + flwb</f>
        <v>19</v>
      </c>
      <c r="C1089" s="1"/>
    </row>
    <row r="1090" spans="1:3" ht="17" x14ac:dyDescent="0.25">
      <c r="A1090" s="3" t="s">
        <v>1693</v>
      </c>
      <c r="B1090" s="3">
        <f xml:space="preserve"> ldgh + vhrc</f>
        <v>417</v>
      </c>
      <c r="C1090" s="1"/>
    </row>
    <row r="1091" spans="1:3" ht="17" x14ac:dyDescent="0.25">
      <c r="A1091" s="3" t="s">
        <v>1696</v>
      </c>
      <c r="B1091" s="3">
        <f xml:space="preserve"> mmcp * glmd</f>
        <v>8</v>
      </c>
      <c r="C1091" s="1"/>
    </row>
    <row r="1092" spans="1:3" ht="17" x14ac:dyDescent="0.25">
      <c r="A1092" s="3" t="s">
        <v>1254</v>
      </c>
      <c r="B1092" s="3">
        <f xml:space="preserve"> dgsn + gsqp</f>
        <v>7</v>
      </c>
      <c r="C1092" s="1"/>
    </row>
    <row r="1093" spans="1:3" ht="17" x14ac:dyDescent="0.25">
      <c r="A1093" s="3" t="s">
        <v>275</v>
      </c>
      <c r="B1093" s="3">
        <f xml:space="preserve"> dphh * hlqq</f>
        <v>819</v>
      </c>
      <c r="C1093" s="1"/>
    </row>
    <row r="1094" spans="1:3" ht="17" x14ac:dyDescent="0.25">
      <c r="A1094" s="3" t="s">
        <v>1702</v>
      </c>
      <c r="B1094" s="3">
        <f>2</f>
        <v>2</v>
      </c>
      <c r="C1094" s="1"/>
    </row>
    <row r="1095" spans="1:3" ht="17" x14ac:dyDescent="0.25">
      <c r="A1095" s="3" t="s">
        <v>1703</v>
      </c>
      <c r="B1095" s="3">
        <f xml:space="preserve"> rcdh + qznj</f>
        <v>925387</v>
      </c>
      <c r="C1095" s="1"/>
    </row>
    <row r="1096" spans="1:3" ht="17" x14ac:dyDescent="0.25">
      <c r="A1096" s="3" t="s">
        <v>1705</v>
      </c>
      <c r="B1096" s="3">
        <f xml:space="preserve"> vfzt / zlfm</f>
        <v>7</v>
      </c>
      <c r="C1096" s="1"/>
    </row>
    <row r="1097" spans="1:3" ht="17" x14ac:dyDescent="0.25">
      <c r="A1097" s="3" t="s">
        <v>1682</v>
      </c>
      <c r="B1097" s="3">
        <f>5</f>
        <v>5</v>
      </c>
      <c r="C1097" s="1"/>
    </row>
    <row r="1098" spans="1:3" ht="17" x14ac:dyDescent="0.25">
      <c r="A1098" s="3" t="s">
        <v>1452</v>
      </c>
      <c r="B1098" s="3">
        <f xml:space="preserve"> hvtp * mnqf</f>
        <v>26</v>
      </c>
      <c r="C1098" s="1"/>
    </row>
    <row r="1099" spans="1:3" ht="17" x14ac:dyDescent="0.25">
      <c r="A1099" s="3" t="s">
        <v>1423</v>
      </c>
      <c r="B1099" s="3">
        <f>4</f>
        <v>4</v>
      </c>
      <c r="C1099" s="1"/>
    </row>
    <row r="1100" spans="1:3" ht="17" x14ac:dyDescent="0.25">
      <c r="A1100" s="3" t="s">
        <v>1709</v>
      </c>
      <c r="B1100" s="3">
        <f>6</f>
        <v>6</v>
      </c>
      <c r="C1100" s="1"/>
    </row>
    <row r="1101" spans="1:3" ht="17" x14ac:dyDescent="0.25">
      <c r="A1101" s="3" t="s">
        <v>723</v>
      </c>
      <c r="B1101" s="3">
        <f xml:space="preserve"> mhgd * tgvg</f>
        <v>38084</v>
      </c>
      <c r="C1101" s="1"/>
    </row>
    <row r="1102" spans="1:3" ht="17" x14ac:dyDescent="0.25">
      <c r="A1102" s="3" t="s">
        <v>1712</v>
      </c>
      <c r="B1102" s="3">
        <f>5</f>
        <v>5</v>
      </c>
      <c r="C1102" s="1"/>
    </row>
    <row r="1103" spans="1:3" ht="17" x14ac:dyDescent="0.25">
      <c r="A1103" s="3" t="s">
        <v>1654</v>
      </c>
      <c r="B1103" s="3">
        <f>3</f>
        <v>3</v>
      </c>
      <c r="C1103" s="1"/>
    </row>
    <row r="1104" spans="1:3" ht="17" x14ac:dyDescent="0.25">
      <c r="A1104" s="3" t="s">
        <v>1713</v>
      </c>
      <c r="B1104" s="3">
        <f>3</f>
        <v>3</v>
      </c>
      <c r="C1104" s="1"/>
    </row>
    <row r="1105" spans="1:3" ht="17" x14ac:dyDescent="0.25">
      <c r="A1105" s="3" t="s">
        <v>470</v>
      </c>
      <c r="B1105" s="3">
        <f xml:space="preserve"> hpbc + zcpc</f>
        <v>279</v>
      </c>
      <c r="C1105" s="1"/>
    </row>
    <row r="1106" spans="1:3" ht="17" x14ac:dyDescent="0.25">
      <c r="A1106" s="3" t="s">
        <v>1715</v>
      </c>
      <c r="B1106" s="3">
        <f>5</f>
        <v>5</v>
      </c>
      <c r="C1106" s="1"/>
    </row>
    <row r="1107" spans="1:3" ht="17" x14ac:dyDescent="0.25">
      <c r="A1107" s="3" t="s">
        <v>1331</v>
      </c>
      <c r="B1107" s="3">
        <f xml:space="preserve"> jcdn * zrqw</f>
        <v>62441214737636</v>
      </c>
      <c r="C1107" s="1"/>
    </row>
    <row r="1108" spans="1:3" ht="17" x14ac:dyDescent="0.25">
      <c r="A1108" s="3" t="s">
        <v>256</v>
      </c>
      <c r="B1108" s="3">
        <f xml:space="preserve"> wgmh * wjbf</f>
        <v>27</v>
      </c>
      <c r="C1108" s="1"/>
    </row>
    <row r="1109" spans="1:3" ht="17" x14ac:dyDescent="0.25">
      <c r="A1109" s="3" t="s">
        <v>760</v>
      </c>
      <c r="B1109" s="3">
        <f xml:space="preserve"> vbth * djlm</f>
        <v>6</v>
      </c>
      <c r="C1109" s="1"/>
    </row>
    <row r="1110" spans="1:3" ht="17" x14ac:dyDescent="0.25">
      <c r="A1110" s="3" t="s">
        <v>1719</v>
      </c>
      <c r="B1110" s="3">
        <f>11</f>
        <v>11</v>
      </c>
      <c r="C1110" s="1"/>
    </row>
    <row r="1111" spans="1:3" ht="17" x14ac:dyDescent="0.25">
      <c r="A1111" s="3" t="s">
        <v>1122</v>
      </c>
      <c r="B1111" s="3">
        <f>6</f>
        <v>6</v>
      </c>
      <c r="C1111" s="1"/>
    </row>
    <row r="1112" spans="1:3" ht="17" x14ac:dyDescent="0.25">
      <c r="A1112" s="3" t="s">
        <v>1720</v>
      </c>
      <c r="B1112" s="3">
        <f xml:space="preserve"> wnql * zszf</f>
        <v>50</v>
      </c>
      <c r="C1112" s="1"/>
    </row>
    <row r="1113" spans="1:3" ht="17" x14ac:dyDescent="0.25">
      <c r="A1113" s="3" t="s">
        <v>1722</v>
      </c>
      <c r="B1113" s="3">
        <f>3</f>
        <v>3</v>
      </c>
      <c r="C1113" s="1"/>
    </row>
    <row r="1114" spans="1:3" ht="17" x14ac:dyDescent="0.25">
      <c r="A1114" s="3" t="s">
        <v>1723</v>
      </c>
      <c r="B1114" s="3">
        <f xml:space="preserve"> wfbz * gqpp</f>
        <v>22</v>
      </c>
      <c r="C1114" s="1"/>
    </row>
    <row r="1115" spans="1:3" ht="17" x14ac:dyDescent="0.25">
      <c r="A1115" s="3" t="s">
        <v>415</v>
      </c>
      <c r="B1115" s="3">
        <f>5</f>
        <v>5</v>
      </c>
      <c r="C1115" s="1"/>
    </row>
    <row r="1116" spans="1:3" ht="17" x14ac:dyDescent="0.25">
      <c r="A1116" s="3" t="s">
        <v>1726</v>
      </c>
      <c r="B1116" s="3">
        <f>4</f>
        <v>4</v>
      </c>
      <c r="C1116" s="1"/>
    </row>
    <row r="1117" spans="1:3" ht="17" x14ac:dyDescent="0.25">
      <c r="A1117" s="3" t="s">
        <v>1727</v>
      </c>
      <c r="B1117" s="3">
        <f xml:space="preserve"> vljf * jqvz</f>
        <v>18</v>
      </c>
      <c r="C1117" s="1"/>
    </row>
    <row r="1118" spans="1:3" ht="17" x14ac:dyDescent="0.25">
      <c r="A1118" s="3" t="s">
        <v>1728</v>
      </c>
      <c r="B1118" s="3">
        <f>6</f>
        <v>6</v>
      </c>
      <c r="C1118" s="1"/>
    </row>
    <row r="1119" spans="1:3" ht="17" x14ac:dyDescent="0.25">
      <c r="A1119" s="3" t="s">
        <v>1729</v>
      </c>
      <c r="B1119" s="3">
        <f>5</f>
        <v>5</v>
      </c>
      <c r="C1119" s="1"/>
    </row>
    <row r="1120" spans="1:3" ht="17" x14ac:dyDescent="0.25">
      <c r="A1120" s="3" t="s">
        <v>1730</v>
      </c>
      <c r="B1120" s="3">
        <f>5</f>
        <v>5</v>
      </c>
      <c r="C1120" s="1"/>
    </row>
    <row r="1121" spans="1:3" ht="17" x14ac:dyDescent="0.25">
      <c r="A1121" s="3" t="s">
        <v>792</v>
      </c>
      <c r="B1121" s="3">
        <f xml:space="preserve"> hspt * qccb</f>
        <v>33</v>
      </c>
      <c r="C1121" s="1"/>
    </row>
    <row r="1122" spans="1:3" ht="17" x14ac:dyDescent="0.25">
      <c r="A1122" s="3" t="s">
        <v>1731</v>
      </c>
      <c r="B1122" s="3">
        <f xml:space="preserve"> wvfr + fwlb</f>
        <v>8</v>
      </c>
      <c r="C1122" s="1"/>
    </row>
    <row r="1123" spans="1:3" ht="17" x14ac:dyDescent="0.25">
      <c r="A1123" s="3" t="s">
        <v>1733</v>
      </c>
      <c r="B1123" s="3">
        <f>5</f>
        <v>5</v>
      </c>
      <c r="C1123" s="1"/>
    </row>
    <row r="1124" spans="1:3" ht="17" x14ac:dyDescent="0.25">
      <c r="A1124" s="3" t="s">
        <v>253</v>
      </c>
      <c r="B1124" s="3">
        <f>13</f>
        <v>13</v>
      </c>
      <c r="C1124" s="1"/>
    </row>
    <row r="1125" spans="1:3" ht="17" x14ac:dyDescent="0.25">
      <c r="A1125" s="3" t="s">
        <v>1734</v>
      </c>
      <c r="B1125" s="3">
        <f xml:space="preserve"> lscw + zchq</f>
        <v>7</v>
      </c>
      <c r="C1125" s="1"/>
    </row>
    <row r="1126" spans="1:3" ht="17" x14ac:dyDescent="0.25">
      <c r="A1126" s="3" t="s">
        <v>1667</v>
      </c>
      <c r="B1126" s="3">
        <f xml:space="preserve"> hqnr + sdpr</f>
        <v>79</v>
      </c>
      <c r="C1126" s="1"/>
    </row>
    <row r="1127" spans="1:3" ht="17" x14ac:dyDescent="0.25">
      <c r="A1127" s="3" t="s">
        <v>1738</v>
      </c>
      <c r="B1127" s="3">
        <f xml:space="preserve"> ldcn + jpzq</f>
        <v>29</v>
      </c>
      <c r="C1127" s="1"/>
    </row>
    <row r="1128" spans="1:3" ht="17" x14ac:dyDescent="0.25">
      <c r="A1128" s="3" t="s">
        <v>1566</v>
      </c>
      <c r="B1128" s="3">
        <f xml:space="preserve"> rshj * llvf</f>
        <v>57</v>
      </c>
      <c r="C1128" s="1"/>
    </row>
    <row r="1129" spans="1:3" ht="17" x14ac:dyDescent="0.25">
      <c r="A1129" s="3" t="s">
        <v>1742</v>
      </c>
      <c r="B1129" s="3">
        <f>3</f>
        <v>3</v>
      </c>
      <c r="C1129" s="1"/>
    </row>
    <row r="1130" spans="1:3" ht="17" x14ac:dyDescent="0.25">
      <c r="A1130" s="3" t="s">
        <v>1743</v>
      </c>
      <c r="B1130" s="3">
        <f xml:space="preserve"> mpqs * gdqd</f>
        <v>28</v>
      </c>
      <c r="C1130" s="1"/>
    </row>
    <row r="1131" spans="1:3" ht="17" x14ac:dyDescent="0.25">
      <c r="A1131" s="3" t="s">
        <v>1745</v>
      </c>
      <c r="B1131" s="3">
        <f>3</f>
        <v>3</v>
      </c>
      <c r="C1131" s="1"/>
    </row>
    <row r="1132" spans="1:3" ht="17" x14ac:dyDescent="0.25">
      <c r="A1132" s="3" t="s">
        <v>649</v>
      </c>
      <c r="B1132" s="3">
        <f xml:space="preserve"> qcsg - fgcp</f>
        <v>31</v>
      </c>
      <c r="C1132" s="1"/>
    </row>
    <row r="1133" spans="1:3" ht="17" x14ac:dyDescent="0.25">
      <c r="A1133" s="3" t="s">
        <v>860</v>
      </c>
      <c r="B1133" s="3">
        <f xml:space="preserve"> gljs * sqff</f>
        <v>8</v>
      </c>
      <c r="C1133" s="1"/>
    </row>
    <row r="1134" spans="1:3" ht="17" x14ac:dyDescent="0.25">
      <c r="A1134" s="3" t="s">
        <v>1749</v>
      </c>
      <c r="B1134" s="3">
        <f>3</f>
        <v>3</v>
      </c>
      <c r="C1134" s="1"/>
    </row>
    <row r="1135" spans="1:3" ht="17" x14ac:dyDescent="0.25">
      <c r="A1135" s="3" t="s">
        <v>464</v>
      </c>
      <c r="B1135" s="3">
        <f xml:space="preserve"> dmbg + hzhf</f>
        <v>9404488</v>
      </c>
      <c r="C1135" s="1"/>
    </row>
    <row r="1136" spans="1:3" ht="17" x14ac:dyDescent="0.25">
      <c r="A1136" s="3" t="s">
        <v>1752</v>
      </c>
      <c r="B1136" s="3">
        <f xml:space="preserve"> tszl * vpdv</f>
        <v>9</v>
      </c>
      <c r="C1136" s="1"/>
    </row>
    <row r="1137" spans="1:3" ht="17" x14ac:dyDescent="0.25">
      <c r="A1137" s="3" t="s">
        <v>1754</v>
      </c>
      <c r="B1137" s="3">
        <f>3</f>
        <v>3</v>
      </c>
      <c r="C1137" s="1"/>
    </row>
    <row r="1138" spans="1:3" ht="17" x14ac:dyDescent="0.25">
      <c r="A1138" s="3" t="s">
        <v>1650</v>
      </c>
      <c r="B1138" s="3">
        <f xml:space="preserve"> nfcq + nrdc</f>
        <v>9</v>
      </c>
      <c r="C1138" s="1"/>
    </row>
    <row r="1139" spans="1:3" ht="17" x14ac:dyDescent="0.25">
      <c r="A1139" s="3" t="s">
        <v>1755</v>
      </c>
      <c r="B1139" s="3">
        <f xml:space="preserve"> hscb + jhjf</f>
        <v>53</v>
      </c>
      <c r="C1139" s="1"/>
    </row>
    <row r="1140" spans="1:3" ht="17" x14ac:dyDescent="0.25">
      <c r="A1140" s="3" t="s">
        <v>1756</v>
      </c>
      <c r="B1140" s="3">
        <f xml:space="preserve"> fths * lqlp</f>
        <v>22</v>
      </c>
      <c r="C1140" s="1"/>
    </row>
    <row r="1141" spans="1:3" ht="17" x14ac:dyDescent="0.25">
      <c r="A1141" s="3" t="s">
        <v>1758</v>
      </c>
      <c r="B1141" s="3">
        <f>2</f>
        <v>2</v>
      </c>
      <c r="C1141" s="1"/>
    </row>
    <row r="1142" spans="1:3" ht="17" x14ac:dyDescent="0.25">
      <c r="A1142" s="3" t="s">
        <v>497</v>
      </c>
      <c r="B1142" s="3">
        <f>13</f>
        <v>13</v>
      </c>
      <c r="C1142" s="1"/>
    </row>
    <row r="1143" spans="1:3" ht="17" x14ac:dyDescent="0.25">
      <c r="A1143" s="3" t="s">
        <v>1759</v>
      </c>
      <c r="B1143" s="3">
        <f xml:space="preserve"> ljpc * zhjf</f>
        <v>84</v>
      </c>
      <c r="C1143" s="1"/>
    </row>
    <row r="1144" spans="1:3" ht="17" x14ac:dyDescent="0.25">
      <c r="A1144" s="3" t="s">
        <v>1762</v>
      </c>
      <c r="B1144" s="3">
        <f>7</f>
        <v>7</v>
      </c>
      <c r="C1144" s="1"/>
    </row>
    <row r="1145" spans="1:3" ht="17" x14ac:dyDescent="0.25">
      <c r="A1145" s="3" t="s">
        <v>1345</v>
      </c>
      <c r="B1145" s="3">
        <f>4</f>
        <v>4</v>
      </c>
      <c r="C1145" s="1"/>
    </row>
    <row r="1146" spans="1:3" ht="17" x14ac:dyDescent="0.25">
      <c r="A1146" s="3" t="s">
        <v>1763</v>
      </c>
      <c r="B1146" s="3">
        <f xml:space="preserve"> gwfq / djtd</f>
        <v>79535790443891</v>
      </c>
      <c r="C1146" s="1"/>
    </row>
    <row r="1147" spans="1:3" ht="17" x14ac:dyDescent="0.25">
      <c r="A1147" s="3" t="s">
        <v>1766</v>
      </c>
      <c r="B1147" s="3">
        <f xml:space="preserve"> rrsb * wtcb</f>
        <v>6</v>
      </c>
      <c r="C1147" s="1"/>
    </row>
    <row r="1148" spans="1:3" ht="17" x14ac:dyDescent="0.25">
      <c r="A1148" s="3" t="s">
        <v>1767</v>
      </c>
      <c r="B1148" s="3">
        <f>5</f>
        <v>5</v>
      </c>
      <c r="C1148" s="1"/>
    </row>
    <row r="1149" spans="1:3" ht="17" x14ac:dyDescent="0.25">
      <c r="A1149" s="3" t="s">
        <v>1768</v>
      </c>
      <c r="B1149" s="3">
        <f>5</f>
        <v>5</v>
      </c>
      <c r="C1149" s="1"/>
    </row>
    <row r="1150" spans="1:3" ht="17" x14ac:dyDescent="0.25">
      <c r="A1150" s="3" t="s">
        <v>1769</v>
      </c>
      <c r="B1150" s="3">
        <f xml:space="preserve"> hrvv * pblw</f>
        <v>21</v>
      </c>
      <c r="C1150" s="1"/>
    </row>
    <row r="1151" spans="1:3" ht="17" x14ac:dyDescent="0.25">
      <c r="A1151" s="3" t="s">
        <v>1771</v>
      </c>
      <c r="B1151" s="3">
        <f xml:space="preserve"> fdmh * lnsn</f>
        <v>22</v>
      </c>
      <c r="C1151" s="1"/>
    </row>
    <row r="1152" spans="1:3" ht="17" x14ac:dyDescent="0.25">
      <c r="A1152" s="3" t="s">
        <v>368</v>
      </c>
      <c r="B1152" s="3">
        <f>2</f>
        <v>2</v>
      </c>
      <c r="C1152" s="1"/>
    </row>
    <row r="1153" spans="1:3" ht="17" x14ac:dyDescent="0.25">
      <c r="A1153" s="3" t="s">
        <v>288</v>
      </c>
      <c r="B1153" s="3">
        <f>7</f>
        <v>7</v>
      </c>
      <c r="C1153" s="1"/>
    </row>
    <row r="1154" spans="1:3" ht="17" x14ac:dyDescent="0.25">
      <c r="A1154" s="3" t="s">
        <v>1774</v>
      </c>
      <c r="B1154" s="3">
        <f>2</f>
        <v>2</v>
      </c>
      <c r="C1154" s="1"/>
    </row>
    <row r="1155" spans="1:3" ht="17" x14ac:dyDescent="0.25">
      <c r="A1155" s="3" t="s">
        <v>1775</v>
      </c>
      <c r="B1155" s="3">
        <f xml:space="preserve"> prjp * phdl</f>
        <v>28</v>
      </c>
      <c r="C1155" s="1"/>
    </row>
    <row r="1156" spans="1:3" ht="17" x14ac:dyDescent="0.25">
      <c r="A1156" s="3" t="s">
        <v>1777</v>
      </c>
      <c r="B1156" s="3">
        <f>1</f>
        <v>1</v>
      </c>
      <c r="C1156" s="1"/>
    </row>
    <row r="1157" spans="1:3" ht="17" x14ac:dyDescent="0.25">
      <c r="A1157" s="3" t="s">
        <v>1778</v>
      </c>
      <c r="B1157" s="3">
        <f xml:space="preserve"> wphd * njbp</f>
        <v>210621</v>
      </c>
      <c r="C1157" s="1"/>
    </row>
    <row r="1158" spans="1:3" ht="17" x14ac:dyDescent="0.25">
      <c r="A1158" s="3" t="s">
        <v>1780</v>
      </c>
      <c r="B1158" s="3">
        <f xml:space="preserve"> nwqn * bdvw</f>
        <v>25</v>
      </c>
      <c r="C1158" s="1"/>
    </row>
    <row r="1159" spans="1:3" ht="17" x14ac:dyDescent="0.25">
      <c r="A1159" s="3" t="s">
        <v>1782</v>
      </c>
      <c r="B1159" s="3">
        <f xml:space="preserve"> htqw * lzqv</f>
        <v>62</v>
      </c>
      <c r="C1159" s="1"/>
    </row>
    <row r="1160" spans="1:3" ht="17" x14ac:dyDescent="0.25">
      <c r="A1160" s="3" t="s">
        <v>1785</v>
      </c>
      <c r="B1160" s="3">
        <f>6</f>
        <v>6</v>
      </c>
      <c r="C1160" s="1"/>
    </row>
    <row r="1161" spans="1:3" ht="17" x14ac:dyDescent="0.25">
      <c r="A1161" s="3" t="s">
        <v>1786</v>
      </c>
      <c r="B1161" s="3">
        <f xml:space="preserve"> mwgw + gqdg</f>
        <v>117</v>
      </c>
      <c r="C1161" s="1"/>
    </row>
    <row r="1162" spans="1:3" ht="17" x14ac:dyDescent="0.25">
      <c r="A1162" s="3" t="s">
        <v>849</v>
      </c>
      <c r="B1162" s="3">
        <f xml:space="preserve"> fbls + rfbj</f>
        <v>92</v>
      </c>
      <c r="C1162" s="1"/>
    </row>
    <row r="1163" spans="1:3" ht="17" x14ac:dyDescent="0.25">
      <c r="A1163" s="3" t="s">
        <v>1514</v>
      </c>
      <c r="B1163" s="3">
        <f xml:space="preserve"> bgsw * dllv</f>
        <v>486</v>
      </c>
      <c r="C1163" s="1"/>
    </row>
    <row r="1164" spans="1:3" ht="17" x14ac:dyDescent="0.25">
      <c r="A1164" s="3" t="s">
        <v>1792</v>
      </c>
      <c r="B1164" s="3">
        <f xml:space="preserve"> jjwr * bjnp</f>
        <v>165</v>
      </c>
      <c r="C1164" s="1"/>
    </row>
    <row r="1165" spans="1:3" ht="17" x14ac:dyDescent="0.25">
      <c r="A1165" s="3" t="s">
        <v>727</v>
      </c>
      <c r="B1165" s="3">
        <f xml:space="preserve"> dpsp * jpbs</f>
        <v>490</v>
      </c>
      <c r="C1165" s="1"/>
    </row>
    <row r="1166" spans="1:3" ht="17" x14ac:dyDescent="0.25">
      <c r="A1166" s="3" t="s">
        <v>1797</v>
      </c>
      <c r="B1166" s="3">
        <f>2</f>
        <v>2</v>
      </c>
      <c r="C1166" s="1"/>
    </row>
    <row r="1167" spans="1:3" ht="17" x14ac:dyDescent="0.25">
      <c r="A1167" s="3" t="s">
        <v>1798</v>
      </c>
      <c r="B1167" s="3">
        <f xml:space="preserve"> jpdg + dzzc</f>
        <v>293</v>
      </c>
      <c r="C1167" s="1"/>
    </row>
    <row r="1168" spans="1:3" ht="17" x14ac:dyDescent="0.25">
      <c r="A1168" s="3" t="s">
        <v>1799</v>
      </c>
      <c r="B1168" s="3">
        <f>19</f>
        <v>19</v>
      </c>
      <c r="C1168" s="1"/>
    </row>
    <row r="1169" spans="1:3" ht="17" x14ac:dyDescent="0.25">
      <c r="A1169" s="3" t="s">
        <v>169</v>
      </c>
      <c r="B1169" s="3">
        <f xml:space="preserve"> mdfl + sjcj</f>
        <v>59</v>
      </c>
      <c r="C1169" s="1"/>
    </row>
    <row r="1170" spans="1:3" ht="17" x14ac:dyDescent="0.25">
      <c r="A1170" s="3" t="s">
        <v>677</v>
      </c>
      <c r="B1170" s="3">
        <f xml:space="preserve"> fppn + pgnh</f>
        <v>7</v>
      </c>
      <c r="C1170" s="1"/>
    </row>
    <row r="1171" spans="1:3" ht="17" x14ac:dyDescent="0.25">
      <c r="A1171" s="3" t="s">
        <v>1801</v>
      </c>
      <c r="B1171" s="3">
        <f>12</f>
        <v>12</v>
      </c>
      <c r="C1171" s="1"/>
    </row>
    <row r="1172" spans="1:3" ht="17" x14ac:dyDescent="0.25">
      <c r="A1172" s="3" t="s">
        <v>33</v>
      </c>
      <c r="B1172" s="3">
        <f xml:space="preserve"> zsrv + rlzn</f>
        <v>742</v>
      </c>
      <c r="C1172" s="1"/>
    </row>
    <row r="1173" spans="1:3" ht="17" x14ac:dyDescent="0.25">
      <c r="A1173" s="3" t="s">
        <v>1803</v>
      </c>
      <c r="B1173" s="3">
        <f>18</f>
        <v>18</v>
      </c>
      <c r="C1173" s="1"/>
    </row>
    <row r="1174" spans="1:3" ht="17" x14ac:dyDescent="0.25">
      <c r="A1174" s="3" t="s">
        <v>715</v>
      </c>
      <c r="B1174" s="3">
        <f xml:space="preserve"> gnsg / jsfs</f>
        <v>299</v>
      </c>
      <c r="C1174" s="1"/>
    </row>
    <row r="1175" spans="1:3" ht="17" x14ac:dyDescent="0.25">
      <c r="A1175" s="3" t="s">
        <v>1805</v>
      </c>
      <c r="B1175" s="3">
        <f xml:space="preserve"> vrjr + lnrd</f>
        <v>1365</v>
      </c>
      <c r="C1175" s="1"/>
    </row>
    <row r="1176" spans="1:3" ht="17" x14ac:dyDescent="0.25">
      <c r="A1176" s="3" t="s">
        <v>1808</v>
      </c>
      <c r="B1176" s="3">
        <f xml:space="preserve"> pwdp - mbqg</f>
        <v>13</v>
      </c>
      <c r="C1176" s="1"/>
    </row>
    <row r="1177" spans="1:3" ht="17" x14ac:dyDescent="0.25">
      <c r="A1177" s="3" t="s">
        <v>1810</v>
      </c>
      <c r="B1177" s="3">
        <f xml:space="preserve"> crpp * snbt</f>
        <v>8</v>
      </c>
      <c r="C1177" s="1"/>
    </row>
    <row r="1178" spans="1:3" ht="17" x14ac:dyDescent="0.25">
      <c r="A1178" s="3" t="s">
        <v>1812</v>
      </c>
      <c r="B1178" s="3">
        <f>4</f>
        <v>4</v>
      </c>
      <c r="C1178" s="1"/>
    </row>
    <row r="1179" spans="1:3" ht="17" x14ac:dyDescent="0.25">
      <c r="A1179" s="3" t="s">
        <v>507</v>
      </c>
      <c r="B1179" s="3">
        <f xml:space="preserve"> hqjz * qrwj</f>
        <v>116</v>
      </c>
      <c r="C1179" s="1"/>
    </row>
    <row r="1180" spans="1:3" ht="17" x14ac:dyDescent="0.25">
      <c r="A1180" s="3" t="s">
        <v>955</v>
      </c>
      <c r="B1180" s="3">
        <f>1</f>
        <v>1</v>
      </c>
      <c r="C1180" s="1"/>
    </row>
    <row r="1181" spans="1:3" ht="17" x14ac:dyDescent="0.25">
      <c r="A1181" s="3" t="s">
        <v>1814</v>
      </c>
      <c r="B1181" s="3">
        <f>3</f>
        <v>3</v>
      </c>
      <c r="C1181" s="1"/>
    </row>
    <row r="1182" spans="1:3" ht="17" x14ac:dyDescent="0.25">
      <c r="A1182" s="3" t="s">
        <v>1815</v>
      </c>
      <c r="B1182" s="3">
        <f>4</f>
        <v>4</v>
      </c>
      <c r="C1182" s="1"/>
    </row>
    <row r="1183" spans="1:3" ht="17" x14ac:dyDescent="0.25">
      <c r="A1183" s="3" t="s">
        <v>1690</v>
      </c>
      <c r="B1183" s="3">
        <f>5</f>
        <v>5</v>
      </c>
      <c r="C1183" s="1"/>
    </row>
    <row r="1184" spans="1:3" ht="17" x14ac:dyDescent="0.25">
      <c r="A1184" s="3" t="s">
        <v>1790</v>
      </c>
      <c r="B1184" s="3">
        <f>18</f>
        <v>18</v>
      </c>
      <c r="C1184" s="1"/>
    </row>
    <row r="1185" spans="1:3" ht="17" x14ac:dyDescent="0.25">
      <c r="A1185" s="3" t="s">
        <v>873</v>
      </c>
      <c r="B1185" s="3">
        <f>2</f>
        <v>2</v>
      </c>
      <c r="C1185" s="1"/>
    </row>
    <row r="1186" spans="1:3" ht="17" x14ac:dyDescent="0.25">
      <c r="A1186" s="3" t="s">
        <v>1816</v>
      </c>
      <c r="B1186" s="3">
        <f>7</f>
        <v>7</v>
      </c>
      <c r="C1186" s="1"/>
    </row>
    <row r="1187" spans="1:3" ht="17" x14ac:dyDescent="0.25">
      <c r="A1187" s="3" t="s">
        <v>1817</v>
      </c>
      <c r="B1187" s="3">
        <f>2</f>
        <v>2</v>
      </c>
      <c r="C1187" s="1"/>
    </row>
    <row r="1188" spans="1:3" ht="17" x14ac:dyDescent="0.25">
      <c r="A1188" s="3" t="s">
        <v>25</v>
      </c>
      <c r="B1188" s="3">
        <f>4</f>
        <v>4</v>
      </c>
      <c r="C1188" s="1"/>
    </row>
    <row r="1189" spans="1:3" ht="17" x14ac:dyDescent="0.25">
      <c r="A1189" s="3" t="s">
        <v>1818</v>
      </c>
      <c r="B1189" s="3">
        <f xml:space="preserve"> mwwf * bwhb</f>
        <v>16</v>
      </c>
      <c r="C1189" s="1"/>
    </row>
    <row r="1190" spans="1:3" ht="17" x14ac:dyDescent="0.25">
      <c r="A1190" s="3" t="s">
        <v>1819</v>
      </c>
      <c r="B1190" s="3">
        <f xml:space="preserve"> jgsn * qnfb</f>
        <v>8</v>
      </c>
      <c r="C1190" s="1"/>
    </row>
    <row r="1191" spans="1:3" ht="17" x14ac:dyDescent="0.25">
      <c r="A1191" s="3" t="s">
        <v>1631</v>
      </c>
      <c r="B1191" s="3">
        <f>2</f>
        <v>2</v>
      </c>
      <c r="C1191" s="1"/>
    </row>
    <row r="1192" spans="1:3" ht="17" x14ac:dyDescent="0.25">
      <c r="A1192" s="3" t="s">
        <v>988</v>
      </c>
      <c r="B1192" s="3">
        <f xml:space="preserve"> rcrv / jqfq</f>
        <v>449</v>
      </c>
      <c r="C1192" s="1"/>
    </row>
    <row r="1193" spans="1:3" ht="17" x14ac:dyDescent="0.25">
      <c r="A1193" s="3" t="s">
        <v>1821</v>
      </c>
      <c r="B1193" s="3">
        <f>5</f>
        <v>5</v>
      </c>
      <c r="C1193" s="1"/>
    </row>
    <row r="1194" spans="1:3" ht="17" x14ac:dyDescent="0.25">
      <c r="A1194" s="3" t="s">
        <v>1822</v>
      </c>
      <c r="B1194" s="3">
        <f xml:space="preserve"> hqmn + vhjv</f>
        <v>911</v>
      </c>
      <c r="C1194" s="1"/>
    </row>
    <row r="1195" spans="1:3" ht="17" x14ac:dyDescent="0.25">
      <c r="A1195" s="3" t="s">
        <v>1825</v>
      </c>
      <c r="B1195" s="3">
        <f>7</f>
        <v>7</v>
      </c>
      <c r="C1195" s="1"/>
    </row>
    <row r="1196" spans="1:3" ht="17" x14ac:dyDescent="0.25">
      <c r="A1196" s="3" t="s">
        <v>1466</v>
      </c>
      <c r="B1196" s="3">
        <f>2</f>
        <v>2</v>
      </c>
      <c r="C1196" s="1"/>
    </row>
    <row r="1197" spans="1:3" ht="17" x14ac:dyDescent="0.25">
      <c r="A1197" s="3" t="s">
        <v>1826</v>
      </c>
      <c r="B1197" s="3">
        <f xml:space="preserve"> gqtt * mhnb</f>
        <v>36</v>
      </c>
      <c r="C1197" s="1"/>
    </row>
    <row r="1198" spans="1:3" ht="17" x14ac:dyDescent="0.25">
      <c r="A1198" s="3" t="s">
        <v>1829</v>
      </c>
      <c r="B1198" s="3">
        <f xml:space="preserve"> rnhr * jtpg</f>
        <v>156</v>
      </c>
      <c r="C1198" s="1"/>
    </row>
    <row r="1199" spans="1:3" ht="17" x14ac:dyDescent="0.25">
      <c r="A1199" s="3" t="s">
        <v>1609</v>
      </c>
      <c r="B1199" s="3">
        <f>3</f>
        <v>3</v>
      </c>
      <c r="C1199" s="1"/>
    </row>
    <row r="1200" spans="1:3" ht="17" x14ac:dyDescent="0.25">
      <c r="A1200" s="3" t="s">
        <v>1830</v>
      </c>
      <c r="B1200" s="3">
        <f>4</f>
        <v>4</v>
      </c>
      <c r="C1200" s="1"/>
    </row>
    <row r="1201" spans="1:3" ht="17" x14ac:dyDescent="0.25">
      <c r="A1201" s="3" t="s">
        <v>1831</v>
      </c>
      <c r="B1201" s="3">
        <f>19</f>
        <v>19</v>
      </c>
      <c r="C1201" s="1"/>
    </row>
    <row r="1202" spans="1:3" ht="17" x14ac:dyDescent="0.25">
      <c r="A1202" s="3" t="s">
        <v>1832</v>
      </c>
      <c r="B1202" s="3">
        <f xml:space="preserve"> mnjr * fnpv</f>
        <v>2530</v>
      </c>
      <c r="C1202" s="1"/>
    </row>
    <row r="1203" spans="1:3" ht="17" x14ac:dyDescent="0.25">
      <c r="A1203" s="3" t="s">
        <v>1828</v>
      </c>
      <c r="B1203" s="3">
        <f xml:space="preserve"> zvjg * mljz</f>
        <v>6</v>
      </c>
      <c r="C1203" s="1"/>
    </row>
    <row r="1204" spans="1:3" ht="17" x14ac:dyDescent="0.25">
      <c r="A1204" s="3" t="s">
        <v>1836</v>
      </c>
      <c r="B1204" s="3">
        <f>3</f>
        <v>3</v>
      </c>
      <c r="C1204" s="1"/>
    </row>
    <row r="1205" spans="1:3" ht="17" x14ac:dyDescent="0.25">
      <c r="A1205" s="3" t="s">
        <v>1837</v>
      </c>
      <c r="B1205" s="3">
        <f xml:space="preserve"> wdlg - zqjs</f>
        <v>11</v>
      </c>
      <c r="C1205" s="1"/>
    </row>
    <row r="1206" spans="1:3" ht="17" x14ac:dyDescent="0.25">
      <c r="A1206" s="3" t="s">
        <v>1840</v>
      </c>
      <c r="B1206" s="3">
        <f>2</f>
        <v>2</v>
      </c>
      <c r="C1206" s="1"/>
    </row>
    <row r="1207" spans="1:3" ht="17" x14ac:dyDescent="0.25">
      <c r="A1207" s="3" t="s">
        <v>1360</v>
      </c>
      <c r="B1207" s="3">
        <f xml:space="preserve"> phjq + pbzw</f>
        <v>8</v>
      </c>
      <c r="C1207" s="1"/>
    </row>
    <row r="1208" spans="1:3" ht="17" x14ac:dyDescent="0.25">
      <c r="A1208" s="3" t="s">
        <v>757</v>
      </c>
      <c r="B1208" s="3">
        <f xml:space="preserve"> zmqb + wvsc</f>
        <v>17</v>
      </c>
      <c r="C1208" s="1"/>
    </row>
    <row r="1209" spans="1:3" ht="17" x14ac:dyDescent="0.25">
      <c r="A1209" s="3" t="s">
        <v>1843</v>
      </c>
      <c r="B1209" s="3">
        <f xml:space="preserve"> gczs * qwqw</f>
        <v>121</v>
      </c>
      <c r="C1209" s="1"/>
    </row>
    <row r="1210" spans="1:3" ht="17" x14ac:dyDescent="0.25">
      <c r="A1210" s="3" t="s">
        <v>1844</v>
      </c>
      <c r="B1210" s="3">
        <f>11</f>
        <v>11</v>
      </c>
      <c r="C1210" s="1"/>
    </row>
    <row r="1211" spans="1:3" ht="17" x14ac:dyDescent="0.25">
      <c r="A1211" s="3" t="s">
        <v>1845</v>
      </c>
      <c r="B1211" s="3">
        <f>5</f>
        <v>5</v>
      </c>
      <c r="C1211" s="1"/>
    </row>
    <row r="1212" spans="1:3" ht="17" x14ac:dyDescent="0.25">
      <c r="A1212" s="3" t="s">
        <v>1846</v>
      </c>
      <c r="B1212" s="3">
        <f>17</f>
        <v>17</v>
      </c>
      <c r="C1212" s="1"/>
    </row>
    <row r="1213" spans="1:3" ht="17" x14ac:dyDescent="0.25">
      <c r="A1213" s="3" t="s">
        <v>394</v>
      </c>
      <c r="B1213" s="3">
        <f xml:space="preserve"> fhhh + sdqd</f>
        <v>27</v>
      </c>
      <c r="C1213" s="1"/>
    </row>
    <row r="1214" spans="1:3" ht="17" x14ac:dyDescent="0.25">
      <c r="A1214" s="3" t="s">
        <v>1121</v>
      </c>
      <c r="B1214" s="3">
        <f xml:space="preserve"> qqlq + pwmf</f>
        <v>21</v>
      </c>
      <c r="C1214" s="1"/>
    </row>
    <row r="1215" spans="1:3" ht="17" x14ac:dyDescent="0.25">
      <c r="A1215" s="3" t="s">
        <v>1849</v>
      </c>
      <c r="B1215" s="3">
        <f>13</f>
        <v>13</v>
      </c>
      <c r="C1215" s="1"/>
    </row>
    <row r="1216" spans="1:3" ht="17" x14ac:dyDescent="0.25">
      <c r="A1216" s="3" t="s">
        <v>1850</v>
      </c>
      <c r="B1216" s="3">
        <f>19</f>
        <v>19</v>
      </c>
      <c r="C1216" s="1"/>
    </row>
    <row r="1217" spans="1:3" ht="17" x14ac:dyDescent="0.25">
      <c r="A1217" s="3" t="s">
        <v>1851</v>
      </c>
      <c r="B1217" s="3">
        <f>5</f>
        <v>5</v>
      </c>
      <c r="C1217" s="1"/>
    </row>
    <row r="1218" spans="1:3" ht="17" x14ac:dyDescent="0.25">
      <c r="A1218" s="3" t="s">
        <v>1620</v>
      </c>
      <c r="B1218" s="3">
        <f xml:space="preserve"> przd / wdqq</f>
        <v>25565075502224</v>
      </c>
      <c r="C1218" s="1"/>
    </row>
    <row r="1219" spans="1:3" ht="17" x14ac:dyDescent="0.25">
      <c r="A1219" s="3" t="s">
        <v>1108</v>
      </c>
      <c r="B1219" s="3">
        <f>9</f>
        <v>9</v>
      </c>
      <c r="C1219" s="1"/>
    </row>
    <row r="1220" spans="1:3" ht="17" x14ac:dyDescent="0.25">
      <c r="A1220" s="3" t="s">
        <v>510</v>
      </c>
      <c r="B1220" s="3">
        <f xml:space="preserve"> hnhp / wzmm</f>
        <v>331</v>
      </c>
      <c r="C1220" s="1"/>
    </row>
    <row r="1221" spans="1:3" ht="17" x14ac:dyDescent="0.25">
      <c r="A1221" s="3" t="s">
        <v>661</v>
      </c>
      <c r="B1221" s="3">
        <f xml:space="preserve"> tpbt * jnhg</f>
        <v>21</v>
      </c>
      <c r="C1221" s="1"/>
    </row>
    <row r="1222" spans="1:3" ht="17" x14ac:dyDescent="0.25">
      <c r="A1222" s="3" t="s">
        <v>1260</v>
      </c>
      <c r="B1222" s="3">
        <f xml:space="preserve"> gbgw + hphq</f>
        <v>249</v>
      </c>
      <c r="C1222" s="1"/>
    </row>
    <row r="1223" spans="1:3" ht="17" x14ac:dyDescent="0.25">
      <c r="A1223" s="3" t="s">
        <v>1857</v>
      </c>
      <c r="B1223" s="3">
        <f xml:space="preserve"> cghj + zrvn</f>
        <v>219</v>
      </c>
      <c r="C1223" s="1"/>
    </row>
    <row r="1224" spans="1:3" ht="17" x14ac:dyDescent="0.25">
      <c r="A1224" s="3" t="s">
        <v>1858</v>
      </c>
      <c r="B1224" s="3">
        <f xml:space="preserve"> lrvl * ssph</f>
        <v>20</v>
      </c>
      <c r="C1224" s="1"/>
    </row>
    <row r="1225" spans="1:3" ht="17" x14ac:dyDescent="0.25">
      <c r="A1225" s="3" t="s">
        <v>930</v>
      </c>
      <c r="B1225" s="3">
        <f xml:space="preserve"> wdll + rdsl</f>
        <v>435</v>
      </c>
      <c r="C1225" s="1"/>
    </row>
    <row r="1226" spans="1:3" ht="17" x14ac:dyDescent="0.25">
      <c r="A1226" s="3" t="s">
        <v>557</v>
      </c>
      <c r="B1226" s="3">
        <f>11</f>
        <v>11</v>
      </c>
      <c r="C1226" s="1"/>
    </row>
    <row r="1227" spans="1:3" ht="17" x14ac:dyDescent="0.25">
      <c r="A1227" s="3" t="s">
        <v>1861</v>
      </c>
      <c r="B1227" s="3">
        <f>20</f>
        <v>20</v>
      </c>
      <c r="C1227" s="1"/>
    </row>
    <row r="1228" spans="1:3" ht="17" x14ac:dyDescent="0.25">
      <c r="A1228" s="3" t="s">
        <v>1862</v>
      </c>
      <c r="B1228" s="3">
        <f xml:space="preserve"> fvjt * grrb</f>
        <v>9</v>
      </c>
      <c r="C1228" s="1"/>
    </row>
    <row r="1229" spans="1:3" ht="17" x14ac:dyDescent="0.25">
      <c r="A1229" s="3" t="s">
        <v>1211</v>
      </c>
      <c r="B1229" s="3">
        <f>2</f>
        <v>2</v>
      </c>
      <c r="C1229" s="1"/>
    </row>
    <row r="1230" spans="1:3" ht="17" x14ac:dyDescent="0.25">
      <c r="A1230" s="3" t="s">
        <v>1864</v>
      </c>
      <c r="B1230" s="3">
        <f xml:space="preserve"> cwpc + lmvq</f>
        <v>22</v>
      </c>
      <c r="C1230" s="1"/>
    </row>
    <row r="1231" spans="1:3" ht="17" x14ac:dyDescent="0.25">
      <c r="A1231" s="3" t="s">
        <v>1244</v>
      </c>
      <c r="B1231" s="3">
        <f>5</f>
        <v>5</v>
      </c>
      <c r="C1231" s="1"/>
    </row>
    <row r="1232" spans="1:3" ht="17" x14ac:dyDescent="0.25">
      <c r="A1232" s="3" t="s">
        <v>1865</v>
      </c>
      <c r="B1232" s="3">
        <f xml:space="preserve"> ndzf / ncgq</f>
        <v>53023860296047</v>
      </c>
      <c r="C1232" s="1"/>
    </row>
    <row r="1233" spans="1:3" ht="17" x14ac:dyDescent="0.25">
      <c r="A1233" s="3" t="s">
        <v>1867</v>
      </c>
      <c r="B1233" s="3">
        <f xml:space="preserve"> hnmm * bwcw</f>
        <v>936</v>
      </c>
      <c r="C1233" s="1"/>
    </row>
    <row r="1234" spans="1:3" ht="17" x14ac:dyDescent="0.25">
      <c r="A1234" s="3" t="s">
        <v>1870</v>
      </c>
      <c r="B1234" s="3">
        <f xml:space="preserve"> hvsm * fbpq</f>
        <v>814</v>
      </c>
      <c r="C1234" s="1"/>
    </row>
    <row r="1235" spans="1:3" ht="17" x14ac:dyDescent="0.25">
      <c r="A1235" s="3" t="s">
        <v>1872</v>
      </c>
      <c r="B1235" s="3">
        <f>2</f>
        <v>2</v>
      </c>
      <c r="C1235" s="1"/>
    </row>
    <row r="1236" spans="1:3" ht="17" x14ac:dyDescent="0.25">
      <c r="A1236" s="3" t="s">
        <v>680</v>
      </c>
      <c r="B1236" s="3">
        <f>3</f>
        <v>3</v>
      </c>
      <c r="C1236" s="1"/>
    </row>
    <row r="1237" spans="1:3" ht="17" x14ac:dyDescent="0.25">
      <c r="A1237" s="3" t="s">
        <v>1873</v>
      </c>
      <c r="B1237" s="3">
        <f xml:space="preserve"> bncl + bhjr</f>
        <v>34</v>
      </c>
      <c r="C1237" s="1"/>
    </row>
    <row r="1238" spans="1:3" ht="17" x14ac:dyDescent="0.25">
      <c r="A1238" s="3" t="s">
        <v>1876</v>
      </c>
      <c r="B1238" s="3">
        <f>5</f>
        <v>5</v>
      </c>
      <c r="C1238" s="1"/>
    </row>
    <row r="1239" spans="1:3" ht="17" x14ac:dyDescent="0.25">
      <c r="A1239" s="3" t="s">
        <v>1585</v>
      </c>
      <c r="B1239" s="3">
        <f>2</f>
        <v>2</v>
      </c>
      <c r="C1239" s="1"/>
    </row>
    <row r="1240" spans="1:3" ht="17" x14ac:dyDescent="0.25">
      <c r="A1240" s="3" t="s">
        <v>1804</v>
      </c>
      <c r="B1240" s="3">
        <f>5</f>
        <v>5</v>
      </c>
      <c r="C1240" s="1"/>
    </row>
    <row r="1241" spans="1:3" ht="17" x14ac:dyDescent="0.25">
      <c r="A1241" s="3" t="s">
        <v>116</v>
      </c>
      <c r="B1241" s="3">
        <f>3</f>
        <v>3</v>
      </c>
      <c r="C1241" s="1"/>
    </row>
    <row r="1242" spans="1:3" ht="17" x14ac:dyDescent="0.25">
      <c r="A1242" s="3" t="s">
        <v>1877</v>
      </c>
      <c r="B1242" s="3">
        <f xml:space="preserve"> qjlm + qmvl</f>
        <v>88</v>
      </c>
      <c r="C1242" s="1"/>
    </row>
    <row r="1243" spans="1:3" ht="17" x14ac:dyDescent="0.25">
      <c r="A1243" s="3" t="s">
        <v>1879</v>
      </c>
      <c r="B1243" s="3">
        <f>2</f>
        <v>2</v>
      </c>
      <c r="C1243" s="1"/>
    </row>
    <row r="1244" spans="1:3" ht="17" x14ac:dyDescent="0.25">
      <c r="A1244" s="3" t="s">
        <v>421</v>
      </c>
      <c r="B1244" s="3">
        <f xml:space="preserve"> cfzt * qhwt</f>
        <v>892</v>
      </c>
      <c r="C1244" s="1"/>
    </row>
    <row r="1245" spans="1:3" ht="17" x14ac:dyDescent="0.25">
      <c r="A1245" s="3" t="s">
        <v>1881</v>
      </c>
      <c r="B1245" s="3">
        <f>7</f>
        <v>7</v>
      </c>
      <c r="C1245" s="1"/>
    </row>
    <row r="1246" spans="1:3" ht="17" x14ac:dyDescent="0.25">
      <c r="A1246" s="3" t="s">
        <v>1882</v>
      </c>
      <c r="B1246" s="3">
        <f>6</f>
        <v>6</v>
      </c>
      <c r="C1246" s="1"/>
    </row>
    <row r="1247" spans="1:3" ht="17" x14ac:dyDescent="0.25">
      <c r="A1247" s="3" t="s">
        <v>1883</v>
      </c>
      <c r="B1247" s="3">
        <f>2</f>
        <v>2</v>
      </c>
      <c r="C1247" s="1"/>
    </row>
    <row r="1248" spans="1:3" ht="17" x14ac:dyDescent="0.25">
      <c r="A1248" s="3" t="s">
        <v>1884</v>
      </c>
      <c r="B1248" s="3">
        <f>2</f>
        <v>2</v>
      </c>
      <c r="C1248" s="1"/>
    </row>
    <row r="1249" spans="1:3" ht="17" x14ac:dyDescent="0.25">
      <c r="A1249" s="3" t="s">
        <v>1885</v>
      </c>
      <c r="B1249" s="3">
        <f>12</f>
        <v>12</v>
      </c>
      <c r="C1249" s="1"/>
    </row>
    <row r="1250" spans="1:3" ht="17" x14ac:dyDescent="0.25">
      <c r="A1250" s="3" t="s">
        <v>1886</v>
      </c>
      <c r="B1250" s="3">
        <f xml:space="preserve"> hmls * gblc</f>
        <v>26</v>
      </c>
      <c r="C1250" s="1"/>
    </row>
    <row r="1251" spans="1:3" ht="17" x14ac:dyDescent="0.25">
      <c r="A1251" s="3" t="s">
        <v>1269</v>
      </c>
      <c r="B1251" s="3">
        <f>2</f>
        <v>2</v>
      </c>
      <c r="C1251" s="1"/>
    </row>
    <row r="1252" spans="1:3" ht="17" x14ac:dyDescent="0.25">
      <c r="A1252" s="3" t="s">
        <v>1701</v>
      </c>
      <c r="B1252" s="3">
        <f xml:space="preserve"> mqqh * zzwg</f>
        <v>39</v>
      </c>
      <c r="C1252" s="1"/>
    </row>
    <row r="1253" spans="1:3" ht="17" x14ac:dyDescent="0.25">
      <c r="A1253" s="3" t="s">
        <v>1030</v>
      </c>
      <c r="B1253" s="3">
        <f>2</f>
        <v>2</v>
      </c>
      <c r="C1253" s="1"/>
    </row>
    <row r="1254" spans="1:3" ht="17" x14ac:dyDescent="0.25">
      <c r="A1254" s="3" t="s">
        <v>1889</v>
      </c>
      <c r="B1254" s="3">
        <f>4</f>
        <v>4</v>
      </c>
      <c r="C1254" s="1"/>
    </row>
    <row r="1255" spans="1:3" ht="17" x14ac:dyDescent="0.25">
      <c r="A1255" s="3" t="s">
        <v>1890</v>
      </c>
      <c r="B1255" s="3">
        <f>6</f>
        <v>6</v>
      </c>
      <c r="C1255" s="1"/>
    </row>
    <row r="1256" spans="1:3" ht="17" x14ac:dyDescent="0.25">
      <c r="A1256" s="3" t="s">
        <v>1891</v>
      </c>
      <c r="B1256" s="3">
        <f xml:space="preserve"> cntc / vshb</f>
        <v>1193</v>
      </c>
      <c r="C1256" s="1"/>
    </row>
    <row r="1257" spans="1:3" ht="17" x14ac:dyDescent="0.25">
      <c r="A1257" s="3" t="s">
        <v>1893</v>
      </c>
      <c r="B1257" s="3">
        <f xml:space="preserve"> hzzp * zgdm</f>
        <v>6</v>
      </c>
      <c r="C1257" s="1"/>
    </row>
    <row r="1258" spans="1:3" ht="17" x14ac:dyDescent="0.25">
      <c r="A1258" s="3" t="s">
        <v>1896</v>
      </c>
      <c r="B1258" s="3">
        <f>3</f>
        <v>3</v>
      </c>
      <c r="C1258" s="1"/>
    </row>
    <row r="1259" spans="1:3" ht="17" x14ac:dyDescent="0.25">
      <c r="A1259" s="3" t="s">
        <v>1897</v>
      </c>
      <c r="B1259" s="3">
        <f xml:space="preserve"> qcfr * hnlt</f>
        <v>217</v>
      </c>
      <c r="C1259" s="1"/>
    </row>
    <row r="1260" spans="1:3" ht="17" x14ac:dyDescent="0.25">
      <c r="A1260" s="3" t="s">
        <v>1900</v>
      </c>
      <c r="B1260" s="3">
        <f>2</f>
        <v>2</v>
      </c>
      <c r="C1260" s="1"/>
    </row>
    <row r="1261" spans="1:3" ht="17" x14ac:dyDescent="0.25">
      <c r="A1261" s="3" t="s">
        <v>1901</v>
      </c>
      <c r="B1261" s="3">
        <f>2</f>
        <v>2</v>
      </c>
      <c r="C1261" s="1"/>
    </row>
    <row r="1262" spans="1:3" ht="17" x14ac:dyDescent="0.25">
      <c r="A1262" s="3" t="s">
        <v>1902</v>
      </c>
      <c r="B1262" s="3">
        <f>2</f>
        <v>2</v>
      </c>
      <c r="C1262" s="1"/>
    </row>
    <row r="1263" spans="1:3" ht="17" x14ac:dyDescent="0.25">
      <c r="A1263" s="3" t="s">
        <v>1903</v>
      </c>
      <c r="B1263" s="3">
        <f>3</f>
        <v>3</v>
      </c>
      <c r="C1263" s="1"/>
    </row>
    <row r="1264" spans="1:3" ht="17" x14ac:dyDescent="0.25">
      <c r="A1264" s="3" t="s">
        <v>1574</v>
      </c>
      <c r="B1264" s="3">
        <f>10</f>
        <v>10</v>
      </c>
      <c r="C1264" s="1"/>
    </row>
    <row r="1265" spans="1:3" ht="17" x14ac:dyDescent="0.25">
      <c r="A1265" s="3" t="s">
        <v>1278</v>
      </c>
      <c r="B1265" s="3">
        <f>7</f>
        <v>7</v>
      </c>
      <c r="C1265" s="1"/>
    </row>
    <row r="1266" spans="1:3" ht="17" x14ac:dyDescent="0.25">
      <c r="A1266" s="3" t="s">
        <v>1904</v>
      </c>
      <c r="B1266" s="3">
        <f xml:space="preserve"> zqgl + snsc</f>
        <v>29</v>
      </c>
      <c r="C1266" s="1"/>
    </row>
    <row r="1267" spans="1:3" ht="17" x14ac:dyDescent="0.25">
      <c r="A1267" s="3" t="s">
        <v>1895</v>
      </c>
      <c r="B1267" s="3">
        <f>3</f>
        <v>3</v>
      </c>
      <c r="C1267" s="1"/>
    </row>
    <row r="1268" spans="1:3" ht="17" x14ac:dyDescent="0.25">
      <c r="A1268" s="3" t="s">
        <v>1905</v>
      </c>
      <c r="B1268" s="3">
        <f>3</f>
        <v>3</v>
      </c>
      <c r="C1268" s="1"/>
    </row>
    <row r="1269" spans="1:3" ht="17" x14ac:dyDescent="0.25">
      <c r="A1269" s="3" t="s">
        <v>1354</v>
      </c>
      <c r="B1269" s="3">
        <f xml:space="preserve"> wtnb + hpfr</f>
        <v>17</v>
      </c>
      <c r="C1269" s="1"/>
    </row>
    <row r="1270" spans="1:3" ht="17" x14ac:dyDescent="0.25">
      <c r="A1270" s="3" t="s">
        <v>656</v>
      </c>
      <c r="B1270" s="3">
        <f>10</f>
        <v>10</v>
      </c>
      <c r="C1270" s="1"/>
    </row>
    <row r="1271" spans="1:3" ht="17" x14ac:dyDescent="0.25">
      <c r="A1271" s="3" t="s">
        <v>1907</v>
      </c>
      <c r="B1271" s="3">
        <f xml:space="preserve"> nntm + qpqs</f>
        <v>13</v>
      </c>
      <c r="C1271" s="1"/>
    </row>
    <row r="1272" spans="1:3" ht="17" x14ac:dyDescent="0.25">
      <c r="A1272" s="3" t="s">
        <v>1878</v>
      </c>
      <c r="B1272" s="3">
        <f xml:space="preserve"> chzd - czwl</f>
        <v>23</v>
      </c>
      <c r="C1272" s="1"/>
    </row>
    <row r="1273" spans="1:3" ht="17" x14ac:dyDescent="0.25">
      <c r="A1273" s="3" t="s">
        <v>1592</v>
      </c>
      <c r="B1273" s="3">
        <f xml:space="preserve"> hnbl / vbwd</f>
        <v>11362255777957</v>
      </c>
      <c r="C1273" s="1"/>
    </row>
    <row r="1274" spans="1:3" ht="17" x14ac:dyDescent="0.25">
      <c r="A1274" s="3" t="s">
        <v>1910</v>
      </c>
      <c r="B1274" s="3">
        <f xml:space="preserve"> qvgc * zwnj</f>
        <v>9</v>
      </c>
      <c r="C1274" s="1"/>
    </row>
    <row r="1275" spans="1:3" ht="17" x14ac:dyDescent="0.25">
      <c r="A1275" s="3" t="s">
        <v>1716</v>
      </c>
      <c r="B1275" s="3">
        <f>2</f>
        <v>2</v>
      </c>
      <c r="C1275" s="1"/>
    </row>
    <row r="1276" spans="1:3" ht="17" x14ac:dyDescent="0.25">
      <c r="A1276" s="3" t="s">
        <v>1912</v>
      </c>
      <c r="B1276" s="3">
        <f xml:space="preserve"> hhdm + bpgc</f>
        <v>103</v>
      </c>
      <c r="C1276" s="1"/>
    </row>
    <row r="1277" spans="1:3" ht="17" x14ac:dyDescent="0.25">
      <c r="A1277" s="3" t="s">
        <v>1784</v>
      </c>
      <c r="B1277" s="3">
        <f xml:space="preserve"> nltz + qlst</f>
        <v>31</v>
      </c>
      <c r="C1277" s="1"/>
    </row>
    <row r="1278" spans="1:3" ht="17" x14ac:dyDescent="0.25">
      <c r="A1278" s="3" t="s">
        <v>1583</v>
      </c>
      <c r="B1278" s="3">
        <f xml:space="preserve"> bfbz * jvpg</f>
        <v>5786</v>
      </c>
      <c r="C1278" s="1"/>
    </row>
    <row r="1279" spans="1:3" ht="17" x14ac:dyDescent="0.25">
      <c r="A1279" s="3" t="s">
        <v>1521</v>
      </c>
      <c r="B1279" s="3">
        <f xml:space="preserve"> gbrr + wgfc</f>
        <v>163</v>
      </c>
      <c r="C1279" s="1"/>
    </row>
    <row r="1280" spans="1:3" ht="17" x14ac:dyDescent="0.25">
      <c r="A1280" s="3" t="s">
        <v>1916</v>
      </c>
      <c r="B1280" s="3">
        <f xml:space="preserve"> prhh + czhh</f>
        <v>44</v>
      </c>
      <c r="C1280" s="1"/>
    </row>
    <row r="1281" spans="1:3" ht="17" x14ac:dyDescent="0.25">
      <c r="A1281" s="3" t="s">
        <v>1919</v>
      </c>
      <c r="B1281" s="3">
        <f xml:space="preserve"> wrrn + ptcg</f>
        <v>37</v>
      </c>
      <c r="C1281" s="1"/>
    </row>
    <row r="1282" spans="1:3" ht="17" x14ac:dyDescent="0.25">
      <c r="A1282" s="3" t="s">
        <v>1015</v>
      </c>
      <c r="B1282" s="3">
        <f>2</f>
        <v>2</v>
      </c>
      <c r="C1282" s="1"/>
    </row>
    <row r="1283" spans="1:3" ht="17" x14ac:dyDescent="0.25">
      <c r="A1283" s="3" t="s">
        <v>1922</v>
      </c>
      <c r="B1283" s="3">
        <f xml:space="preserve"> jdvb - vscz</f>
        <v>13</v>
      </c>
      <c r="C1283" s="1"/>
    </row>
    <row r="1284" spans="1:3" ht="17" x14ac:dyDescent="0.25">
      <c r="A1284" s="3" t="s">
        <v>1923</v>
      </c>
      <c r="B1284" s="3">
        <f>5</f>
        <v>5</v>
      </c>
      <c r="C1284" s="1"/>
    </row>
    <row r="1285" spans="1:3" ht="17" x14ac:dyDescent="0.25">
      <c r="A1285" s="3" t="s">
        <v>1924</v>
      </c>
      <c r="B1285" s="3">
        <f xml:space="preserve"> rfcz * hbmp</f>
        <v>560</v>
      </c>
      <c r="C1285" s="1"/>
    </row>
    <row r="1286" spans="1:3" ht="17" x14ac:dyDescent="0.25">
      <c r="A1286" s="3" t="s">
        <v>427</v>
      </c>
      <c r="B1286" s="3">
        <f>5</f>
        <v>5</v>
      </c>
      <c r="C1286" s="1"/>
    </row>
    <row r="1287" spans="1:3" ht="17" x14ac:dyDescent="0.25">
      <c r="A1287" s="3" t="s">
        <v>1927</v>
      </c>
      <c r="B1287" s="3">
        <f>3</f>
        <v>3</v>
      </c>
      <c r="C1287" s="1"/>
    </row>
    <row r="1288" spans="1:3" ht="17" x14ac:dyDescent="0.25">
      <c r="A1288" s="3" t="s">
        <v>1674</v>
      </c>
      <c r="B1288" s="3">
        <f xml:space="preserve"> jcdw + mcnj</f>
        <v>35</v>
      </c>
      <c r="C1288" s="1"/>
    </row>
    <row r="1289" spans="1:3" ht="17" x14ac:dyDescent="0.25">
      <c r="A1289" s="3" t="s">
        <v>531</v>
      </c>
      <c r="B1289" s="3">
        <f xml:space="preserve"> snng + mcnt</f>
        <v>13</v>
      </c>
      <c r="C1289" s="1"/>
    </row>
    <row r="1290" spans="1:3" ht="17" x14ac:dyDescent="0.25">
      <c r="A1290" s="3" t="s">
        <v>1930</v>
      </c>
      <c r="B1290" s="3">
        <f>2</f>
        <v>2</v>
      </c>
      <c r="C1290" s="1"/>
    </row>
    <row r="1291" spans="1:3" ht="17" x14ac:dyDescent="0.25">
      <c r="A1291" s="3" t="s">
        <v>1931</v>
      </c>
      <c r="B1291" s="3">
        <f xml:space="preserve"> ptbt + bzfj</f>
        <v>1731</v>
      </c>
      <c r="C1291" s="1"/>
    </row>
    <row r="1292" spans="1:3" ht="17" x14ac:dyDescent="0.25">
      <c r="A1292" s="3" t="s">
        <v>1796</v>
      </c>
      <c r="B1292" s="3">
        <f xml:space="preserve"> qlrw + njbt</f>
        <v>70</v>
      </c>
      <c r="C1292" s="1"/>
    </row>
    <row r="1293" spans="1:3" ht="17" x14ac:dyDescent="0.25">
      <c r="A1293" s="3" t="s">
        <v>14</v>
      </c>
      <c r="B1293" s="3">
        <f xml:space="preserve"> nhfm * vdpq</f>
        <v>44</v>
      </c>
      <c r="C1293" s="1"/>
    </row>
    <row r="1294" spans="1:3" ht="17" x14ac:dyDescent="0.25">
      <c r="A1294" s="3" t="s">
        <v>1936</v>
      </c>
      <c r="B1294" s="3">
        <f>4</f>
        <v>4</v>
      </c>
      <c r="C1294" s="1"/>
    </row>
    <row r="1295" spans="1:3" ht="17" x14ac:dyDescent="0.25">
      <c r="A1295" s="3" t="s">
        <v>550</v>
      </c>
      <c r="B1295" s="3">
        <f xml:space="preserve"> dfmb + hvjj</f>
        <v>8</v>
      </c>
      <c r="C1295" s="1"/>
    </row>
    <row r="1296" spans="1:3" ht="17" x14ac:dyDescent="0.25">
      <c r="A1296" s="3" t="s">
        <v>1688</v>
      </c>
      <c r="B1296" s="3">
        <f>12</f>
        <v>12</v>
      </c>
      <c r="C1296" s="1"/>
    </row>
    <row r="1297" spans="1:3" ht="17" x14ac:dyDescent="0.25">
      <c r="A1297" s="3" t="s">
        <v>1938</v>
      </c>
      <c r="B1297" s="3">
        <f>3</f>
        <v>3</v>
      </c>
      <c r="C1297" s="1"/>
    </row>
    <row r="1298" spans="1:3" ht="17" x14ac:dyDescent="0.25">
      <c r="A1298" s="3" t="s">
        <v>1939</v>
      </c>
      <c r="B1298" s="3">
        <f>3</f>
        <v>3</v>
      </c>
      <c r="C1298" s="1"/>
    </row>
    <row r="1299" spans="1:3" ht="17" x14ac:dyDescent="0.25">
      <c r="A1299" s="3" t="s">
        <v>1940</v>
      </c>
      <c r="B1299" s="3">
        <f>3</f>
        <v>3</v>
      </c>
      <c r="C1299" s="1"/>
    </row>
    <row r="1300" spans="1:3" ht="17" x14ac:dyDescent="0.25">
      <c r="A1300" s="3" t="s">
        <v>1941</v>
      </c>
      <c r="B1300" s="3">
        <f xml:space="preserve"> nwdj - jwwr</f>
        <v>20452060399282</v>
      </c>
      <c r="C1300" s="1"/>
    </row>
    <row r="1301" spans="1:3" ht="17" x14ac:dyDescent="0.25">
      <c r="A1301" s="3" t="s">
        <v>1943</v>
      </c>
      <c r="B1301" s="3">
        <f xml:space="preserve"> vrvr + lsth</f>
        <v>262</v>
      </c>
      <c r="C1301" s="1"/>
    </row>
    <row r="1302" spans="1:3" ht="17" x14ac:dyDescent="0.25">
      <c r="A1302" s="3" t="s">
        <v>134</v>
      </c>
      <c r="B1302" s="3">
        <f xml:space="preserve"> mdlm + tmmf</f>
        <v>13</v>
      </c>
      <c r="C1302" s="1"/>
    </row>
    <row r="1303" spans="1:3" ht="17" x14ac:dyDescent="0.25">
      <c r="A1303" s="3" t="s">
        <v>1946</v>
      </c>
      <c r="B1303" s="3">
        <f xml:space="preserve"> mrbb - vhdh</f>
        <v>43</v>
      </c>
      <c r="C1303" s="1"/>
    </row>
    <row r="1304" spans="1:3" ht="17" x14ac:dyDescent="0.25">
      <c r="A1304" s="3" t="s">
        <v>1629</v>
      </c>
      <c r="B1304" s="3">
        <f xml:space="preserve"> zlbp - qnqp</f>
        <v>119303685665589</v>
      </c>
      <c r="C1304" s="1"/>
    </row>
    <row r="1305" spans="1:3" ht="17" x14ac:dyDescent="0.25">
      <c r="A1305" s="3" t="s">
        <v>1950</v>
      </c>
      <c r="B1305" s="3">
        <f>2</f>
        <v>2</v>
      </c>
      <c r="C1305" s="1"/>
    </row>
    <row r="1306" spans="1:3" ht="17" x14ac:dyDescent="0.25">
      <c r="A1306" s="3" t="s">
        <v>555</v>
      </c>
      <c r="B1306" s="3">
        <f>5</f>
        <v>5</v>
      </c>
      <c r="C1306" s="1"/>
    </row>
    <row r="1307" spans="1:3" ht="17" x14ac:dyDescent="0.25">
      <c r="A1307" s="3" t="s">
        <v>1951</v>
      </c>
      <c r="B1307" s="3">
        <f xml:space="preserve"> frlb * wstm</f>
        <v>25</v>
      </c>
      <c r="C1307" s="1"/>
    </row>
    <row r="1308" spans="1:3" ht="17" x14ac:dyDescent="0.25">
      <c r="A1308" s="3" t="s">
        <v>283</v>
      </c>
      <c r="B1308" s="3">
        <f>9</f>
        <v>9</v>
      </c>
      <c r="C1308" s="1"/>
    </row>
    <row r="1309" spans="1:3" ht="17" x14ac:dyDescent="0.25">
      <c r="A1309" s="3" t="s">
        <v>1953</v>
      </c>
      <c r="B1309" s="3">
        <f xml:space="preserve"> bjgh - nwfv</f>
        <v>21</v>
      </c>
      <c r="C1309" s="1"/>
    </row>
    <row r="1310" spans="1:3" ht="17" x14ac:dyDescent="0.25">
      <c r="A1310" s="3" t="s">
        <v>1955</v>
      </c>
      <c r="B1310" s="3">
        <f>7</f>
        <v>7</v>
      </c>
      <c r="C1310" s="1"/>
    </row>
    <row r="1311" spans="1:3" ht="17" x14ac:dyDescent="0.25">
      <c r="A1311" s="3" t="s">
        <v>1956</v>
      </c>
      <c r="B1311" s="3">
        <f xml:space="preserve"> tqft * mhfc</f>
        <v>8</v>
      </c>
      <c r="C1311" s="1"/>
    </row>
    <row r="1312" spans="1:3" ht="17" x14ac:dyDescent="0.25">
      <c r="A1312" s="3" t="s">
        <v>573</v>
      </c>
      <c r="B1312" s="3">
        <f>9</f>
        <v>9</v>
      </c>
      <c r="C1312" s="1"/>
    </row>
    <row r="1313" spans="1:3" ht="17" x14ac:dyDescent="0.25">
      <c r="A1313" s="3" t="s">
        <v>1241</v>
      </c>
      <c r="B1313" s="3">
        <f>5</f>
        <v>5</v>
      </c>
      <c r="C1313" s="1"/>
    </row>
    <row r="1314" spans="1:3" ht="17" x14ac:dyDescent="0.25">
      <c r="A1314" s="3" t="s">
        <v>1153</v>
      </c>
      <c r="B1314" s="3">
        <f xml:space="preserve"> dpdn + gblb</f>
        <v>37</v>
      </c>
      <c r="C1314" s="1"/>
    </row>
    <row r="1315" spans="1:3" ht="17" x14ac:dyDescent="0.25">
      <c r="A1315" s="3" t="s">
        <v>817</v>
      </c>
      <c r="B1315" s="3">
        <f>4</f>
        <v>4</v>
      </c>
      <c r="C1315" s="1"/>
    </row>
    <row r="1316" spans="1:3" ht="17" x14ac:dyDescent="0.25">
      <c r="A1316" s="3" t="s">
        <v>1841</v>
      </c>
      <c r="B1316" s="3">
        <f>4</f>
        <v>4</v>
      </c>
      <c r="C1316" s="1"/>
    </row>
    <row r="1317" spans="1:3" ht="17" x14ac:dyDescent="0.25">
      <c r="A1317" s="3" t="s">
        <v>518</v>
      </c>
      <c r="B1317" s="3">
        <f>2</f>
        <v>2</v>
      </c>
      <c r="C1317" s="1"/>
    </row>
    <row r="1318" spans="1:3" ht="17" x14ac:dyDescent="0.25">
      <c r="A1318" s="3" t="s">
        <v>565</v>
      </c>
      <c r="B1318" s="3">
        <f>5</f>
        <v>5</v>
      </c>
      <c r="C1318" s="1"/>
    </row>
    <row r="1319" spans="1:3" ht="17" x14ac:dyDescent="0.25">
      <c r="A1319" s="3" t="s">
        <v>1807</v>
      </c>
      <c r="B1319" s="3">
        <f xml:space="preserve"> nwcr * wzgl</f>
        <v>141</v>
      </c>
      <c r="C1319" s="1"/>
    </row>
    <row r="1320" spans="1:3" ht="17" x14ac:dyDescent="0.25">
      <c r="A1320" s="3" t="s">
        <v>1960</v>
      </c>
      <c r="B1320" s="3">
        <f>3</f>
        <v>3</v>
      </c>
      <c r="C1320" s="1"/>
    </row>
    <row r="1321" spans="1:3" ht="17" x14ac:dyDescent="0.25">
      <c r="A1321" s="3" t="s">
        <v>1961</v>
      </c>
      <c r="B1321" s="3">
        <f>12</f>
        <v>12</v>
      </c>
      <c r="C1321" s="1"/>
    </row>
    <row r="1322" spans="1:3" ht="17" x14ac:dyDescent="0.25">
      <c r="A1322" s="3" t="s">
        <v>1739</v>
      </c>
      <c r="B1322" s="3">
        <f>13</f>
        <v>13</v>
      </c>
      <c r="C1322" s="1"/>
    </row>
    <row r="1323" spans="1:3" ht="17" x14ac:dyDescent="0.25">
      <c r="A1323" s="3" t="s">
        <v>1498</v>
      </c>
      <c r="B1323" s="3">
        <f>4</f>
        <v>4</v>
      </c>
      <c r="C1323" s="1"/>
    </row>
    <row r="1324" spans="1:3" ht="17" x14ac:dyDescent="0.25">
      <c r="A1324" s="3" t="s">
        <v>1641</v>
      </c>
      <c r="B1324" s="3">
        <f>3</f>
        <v>3</v>
      </c>
      <c r="C1324" s="1"/>
    </row>
    <row r="1325" spans="1:3" ht="17" x14ac:dyDescent="0.25">
      <c r="A1325" s="3" t="s">
        <v>1962</v>
      </c>
      <c r="B1325" s="3">
        <f xml:space="preserve"> dmbl + rvnc</f>
        <v>16</v>
      </c>
      <c r="C1325" s="1"/>
    </row>
    <row r="1326" spans="1:3" ht="17" x14ac:dyDescent="0.25">
      <c r="A1326" s="3" t="s">
        <v>1718</v>
      </c>
      <c r="B1326" s="3">
        <f>3</f>
        <v>3</v>
      </c>
      <c r="C1326" s="1"/>
    </row>
    <row r="1327" spans="1:3" ht="17" x14ac:dyDescent="0.25">
      <c r="A1327" s="3" t="s">
        <v>1964</v>
      </c>
      <c r="B1327" s="3">
        <f xml:space="preserve"> llcr + pphc</f>
        <v>283</v>
      </c>
      <c r="C1327" s="1"/>
    </row>
    <row r="1328" spans="1:3" ht="17" x14ac:dyDescent="0.25">
      <c r="A1328" s="3" t="s">
        <v>1966</v>
      </c>
      <c r="B1328" s="3">
        <f xml:space="preserve"> gslc + jhgf</f>
        <v>18</v>
      </c>
      <c r="C1328" s="1"/>
    </row>
    <row r="1329" spans="1:3" ht="17" x14ac:dyDescent="0.25">
      <c r="A1329" s="3" t="s">
        <v>1969</v>
      </c>
      <c r="B1329" s="3">
        <f>2</f>
        <v>2</v>
      </c>
      <c r="C1329" s="1"/>
    </row>
    <row r="1330" spans="1:3" ht="17" x14ac:dyDescent="0.25">
      <c r="A1330" s="3" t="s">
        <v>1970</v>
      </c>
      <c r="B1330" s="3">
        <f xml:space="preserve"> cpvn * nbjt</f>
        <v>35</v>
      </c>
      <c r="C1330" s="1"/>
    </row>
    <row r="1331" spans="1:3" ht="17" x14ac:dyDescent="0.25">
      <c r="A1331" s="3" t="s">
        <v>1971</v>
      </c>
      <c r="B1331" s="3">
        <f xml:space="preserve"> drlm + csgs</f>
        <v>37</v>
      </c>
      <c r="C1331" s="1"/>
    </row>
    <row r="1332" spans="1:3" ht="17" x14ac:dyDescent="0.25">
      <c r="A1332" s="3" t="s">
        <v>1152</v>
      </c>
      <c r="B1332" s="3">
        <f>5</f>
        <v>5</v>
      </c>
      <c r="C1332" s="1"/>
    </row>
    <row r="1333" spans="1:3" ht="17" x14ac:dyDescent="0.25">
      <c r="A1333" s="3" t="s">
        <v>1283</v>
      </c>
      <c r="B1333" s="3">
        <f xml:space="preserve"> bzqz * lpjt</f>
        <v>153</v>
      </c>
      <c r="C1333" s="1"/>
    </row>
    <row r="1334" spans="1:3" ht="17" x14ac:dyDescent="0.25">
      <c r="A1334" s="3" t="s">
        <v>1975</v>
      </c>
      <c r="B1334" s="3">
        <f xml:space="preserve"> pctv - zhfd</f>
        <v>10</v>
      </c>
      <c r="C1334" s="1"/>
    </row>
    <row r="1335" spans="1:3" ht="17" x14ac:dyDescent="0.25">
      <c r="A1335" s="3" t="s">
        <v>1977</v>
      </c>
      <c r="B1335" s="3">
        <f xml:space="preserve"> ctmg * wnvb</f>
        <v>159</v>
      </c>
      <c r="C1335" s="1"/>
    </row>
    <row r="1336" spans="1:3" ht="17" x14ac:dyDescent="0.25">
      <c r="A1336" s="3" t="s">
        <v>1979</v>
      </c>
      <c r="B1336" s="3">
        <f>20</f>
        <v>20</v>
      </c>
      <c r="C1336" s="1"/>
    </row>
    <row r="1337" spans="1:3" ht="17" x14ac:dyDescent="0.25">
      <c r="A1337" s="3" t="s">
        <v>1854</v>
      </c>
      <c r="B1337" s="3">
        <f>7</f>
        <v>7</v>
      </c>
      <c r="C1337" s="1"/>
    </row>
    <row r="1338" spans="1:3" ht="17" x14ac:dyDescent="0.25">
      <c r="A1338" s="3" t="s">
        <v>137</v>
      </c>
      <c r="B1338" s="3">
        <f xml:space="preserve"> stbv + tptq</f>
        <v>49</v>
      </c>
      <c r="C1338" s="1"/>
    </row>
    <row r="1339" spans="1:3" ht="17" x14ac:dyDescent="0.25">
      <c r="A1339" s="3" t="s">
        <v>1981</v>
      </c>
      <c r="B1339" s="3">
        <f xml:space="preserve"> ggnb * lwpm</f>
        <v>299</v>
      </c>
      <c r="C1339" s="1"/>
    </row>
    <row r="1340" spans="1:3" ht="17" x14ac:dyDescent="0.25">
      <c r="A1340" s="3" t="s">
        <v>1984</v>
      </c>
      <c r="B1340" s="3">
        <f xml:space="preserve"> jnzm * pcgj</f>
        <v>220</v>
      </c>
      <c r="C1340" s="1"/>
    </row>
    <row r="1341" spans="1:3" ht="17" x14ac:dyDescent="0.25">
      <c r="A1341" s="3" t="s">
        <v>525</v>
      </c>
      <c r="B1341" s="3">
        <f>2</f>
        <v>2</v>
      </c>
      <c r="C1341" s="1"/>
    </row>
    <row r="1342" spans="1:3" ht="17" x14ac:dyDescent="0.25">
      <c r="A1342" s="3" t="s">
        <v>1986</v>
      </c>
      <c r="B1342" s="3">
        <f xml:space="preserve"> jppl - wcrj</f>
        <v>23</v>
      </c>
      <c r="C1342" s="1"/>
    </row>
    <row r="1343" spans="1:3" ht="17" x14ac:dyDescent="0.25">
      <c r="A1343" s="3" t="s">
        <v>1987</v>
      </c>
      <c r="B1343" s="3">
        <f xml:space="preserve"> gndt / jsrs</f>
        <v>13</v>
      </c>
      <c r="C1343" s="1"/>
    </row>
    <row r="1344" spans="1:3" ht="17" x14ac:dyDescent="0.25">
      <c r="A1344" s="3" t="s">
        <v>1516</v>
      </c>
      <c r="B1344" s="3">
        <f xml:space="preserve"> nhfg * jtbj</f>
        <v>148</v>
      </c>
      <c r="C1344" s="1"/>
    </row>
    <row r="1345" spans="1:3" ht="17" x14ac:dyDescent="0.25">
      <c r="A1345" s="3" t="s">
        <v>931</v>
      </c>
      <c r="B1345" s="3">
        <f xml:space="preserve"> sqjj * rfwn</f>
        <v>218</v>
      </c>
      <c r="C1345" s="1"/>
    </row>
    <row r="1346" spans="1:3" ht="17" x14ac:dyDescent="0.25">
      <c r="A1346" s="3" t="s">
        <v>496</v>
      </c>
      <c r="B1346" s="3">
        <f>3</f>
        <v>3</v>
      </c>
      <c r="C1346" s="1"/>
    </row>
    <row r="1347" spans="1:3" ht="17" x14ac:dyDescent="0.25">
      <c r="A1347" s="3" t="s">
        <v>948</v>
      </c>
      <c r="B1347" s="3">
        <f>17</f>
        <v>17</v>
      </c>
      <c r="C1347" s="1"/>
    </row>
    <row r="1348" spans="1:3" ht="17" x14ac:dyDescent="0.25">
      <c r="A1348" s="3" t="s">
        <v>1989</v>
      </c>
      <c r="B1348" s="3">
        <f>18</f>
        <v>18</v>
      </c>
      <c r="C1348" s="1"/>
    </row>
    <row r="1349" spans="1:3" ht="17" x14ac:dyDescent="0.25">
      <c r="A1349" s="3" t="s">
        <v>626</v>
      </c>
      <c r="B1349" s="3">
        <f xml:space="preserve"> hcfq * qlbt</f>
        <v>3986233</v>
      </c>
      <c r="C1349" s="1"/>
    </row>
    <row r="1350" spans="1:3" ht="17" x14ac:dyDescent="0.25">
      <c r="A1350" s="3" t="s">
        <v>1992</v>
      </c>
      <c r="B1350" s="3">
        <f xml:space="preserve"> npwc * fssv</f>
        <v>614</v>
      </c>
      <c r="C1350" s="1"/>
    </row>
    <row r="1351" spans="1:3" ht="17" x14ac:dyDescent="0.25">
      <c r="A1351" s="3" t="s">
        <v>1683</v>
      </c>
      <c r="B1351" s="3">
        <f xml:space="preserve"> qrhf + ffvh</f>
        <v>71</v>
      </c>
      <c r="C1351" s="1"/>
    </row>
    <row r="1352" spans="1:3" ht="17" x14ac:dyDescent="0.25">
      <c r="A1352" s="3" t="s">
        <v>1995</v>
      </c>
      <c r="B1352" s="3">
        <f xml:space="preserve"> tnvn * vgbd</f>
        <v>70</v>
      </c>
      <c r="C1352" s="1"/>
    </row>
    <row r="1353" spans="1:3" ht="17" x14ac:dyDescent="0.25">
      <c r="A1353" s="3" t="s">
        <v>1998</v>
      </c>
      <c r="B1353" s="3">
        <f xml:space="preserve"> hqbr * ftvs</f>
        <v>45</v>
      </c>
      <c r="C1353" s="1"/>
    </row>
    <row r="1354" spans="1:3" ht="17" x14ac:dyDescent="0.25">
      <c r="A1354" s="3" t="s">
        <v>2000</v>
      </c>
      <c r="B1354" s="3">
        <f>2</f>
        <v>2</v>
      </c>
      <c r="C1354" s="1"/>
    </row>
    <row r="1355" spans="1:3" ht="17" x14ac:dyDescent="0.25">
      <c r="A1355" s="3" t="s">
        <v>1113</v>
      </c>
      <c r="B1355" s="3">
        <f xml:space="preserve"> szwz * dmbw</f>
        <v>9</v>
      </c>
      <c r="C1355" s="1"/>
    </row>
    <row r="1356" spans="1:3" ht="17" x14ac:dyDescent="0.25">
      <c r="A1356" s="3" t="s">
        <v>1022</v>
      </c>
      <c r="B1356" s="3">
        <f xml:space="preserve"> gjsc * trbp</f>
        <v>1739</v>
      </c>
      <c r="C1356" s="1"/>
    </row>
    <row r="1357" spans="1:3" ht="17" x14ac:dyDescent="0.25">
      <c r="A1357" s="3" t="s">
        <v>2001</v>
      </c>
      <c r="B1357" s="3">
        <f>5</f>
        <v>5</v>
      </c>
      <c r="C1357" s="1"/>
    </row>
    <row r="1358" spans="1:3" ht="17" x14ac:dyDescent="0.25">
      <c r="A1358" s="3" t="s">
        <v>2002</v>
      </c>
      <c r="B1358" s="3">
        <f>5</f>
        <v>5</v>
      </c>
      <c r="C1358" s="1"/>
    </row>
    <row r="1359" spans="1:3" ht="17" x14ac:dyDescent="0.25">
      <c r="A1359" s="3" t="s">
        <v>1406</v>
      </c>
      <c r="B1359" s="3">
        <f xml:space="preserve"> vzgl + nflt</f>
        <v>29</v>
      </c>
      <c r="C1359" s="1"/>
    </row>
    <row r="1360" spans="1:3" ht="17" x14ac:dyDescent="0.25">
      <c r="A1360" s="3" t="s">
        <v>962</v>
      </c>
      <c r="B1360" s="3">
        <f xml:space="preserve"> mmqs * pwdf</f>
        <v>1958027</v>
      </c>
      <c r="C1360" s="1"/>
    </row>
    <row r="1361" spans="1:3" ht="17" x14ac:dyDescent="0.25">
      <c r="A1361" s="3" t="s">
        <v>2006</v>
      </c>
      <c r="B1361" s="3">
        <f xml:space="preserve"> hfbb + ljcm</f>
        <v>10</v>
      </c>
      <c r="C1361" s="1"/>
    </row>
    <row r="1362" spans="1:3" ht="17" x14ac:dyDescent="0.25">
      <c r="A1362" s="3" t="s">
        <v>2007</v>
      </c>
      <c r="B1362" s="3">
        <f>2</f>
        <v>2</v>
      </c>
      <c r="C1362" s="1"/>
    </row>
    <row r="1363" spans="1:3" ht="17" x14ac:dyDescent="0.25">
      <c r="A1363" s="3" t="s">
        <v>1781</v>
      </c>
      <c r="B1363" s="3">
        <f>5</f>
        <v>5</v>
      </c>
      <c r="C1363" s="1"/>
    </row>
    <row r="1364" spans="1:3" ht="17" x14ac:dyDescent="0.25">
      <c r="A1364" s="3" t="s">
        <v>1089</v>
      </c>
      <c r="B1364" s="3">
        <f>3</f>
        <v>3</v>
      </c>
      <c r="C1364" s="1"/>
    </row>
    <row r="1365" spans="1:3" ht="17" x14ac:dyDescent="0.25">
      <c r="A1365" s="3" t="s">
        <v>1827</v>
      </c>
      <c r="B1365" s="3">
        <f>6</f>
        <v>6</v>
      </c>
      <c r="C1365" s="1"/>
    </row>
    <row r="1366" spans="1:3" ht="17" x14ac:dyDescent="0.25">
      <c r="A1366" s="3" t="s">
        <v>2008</v>
      </c>
      <c r="B1366" s="3">
        <f>11</f>
        <v>11</v>
      </c>
      <c r="C1366" s="1"/>
    </row>
    <row r="1367" spans="1:3" ht="17" x14ac:dyDescent="0.25">
      <c r="A1367" s="3" t="s">
        <v>2009</v>
      </c>
      <c r="B1367" s="3">
        <f xml:space="preserve"> hbnm + hpdd</f>
        <v>7</v>
      </c>
      <c r="C1367" s="1"/>
    </row>
    <row r="1368" spans="1:3" ht="17" x14ac:dyDescent="0.25">
      <c r="A1368" s="3" t="s">
        <v>1746</v>
      </c>
      <c r="B1368" s="3">
        <f xml:space="preserve"> crhs + mqqt</f>
        <v>41</v>
      </c>
      <c r="C1368" s="1"/>
    </row>
    <row r="1369" spans="1:3" ht="17" x14ac:dyDescent="0.25">
      <c r="A1369" s="3" t="s">
        <v>2011</v>
      </c>
      <c r="B1369" s="3">
        <f xml:space="preserve"> jnbd + cjzt</f>
        <v>7</v>
      </c>
      <c r="C1369" s="1"/>
    </row>
    <row r="1370" spans="1:3" ht="17" x14ac:dyDescent="0.25">
      <c r="A1370" s="3" t="s">
        <v>2014</v>
      </c>
      <c r="B1370" s="3">
        <f>2</f>
        <v>2</v>
      </c>
      <c r="C1370" s="1"/>
    </row>
    <row r="1371" spans="1:3" ht="17" x14ac:dyDescent="0.25">
      <c r="A1371" s="3" t="s">
        <v>160</v>
      </c>
      <c r="B1371" s="3">
        <f>15</f>
        <v>15</v>
      </c>
      <c r="C1371" s="1"/>
    </row>
    <row r="1372" spans="1:3" ht="17" x14ac:dyDescent="0.25">
      <c r="A1372" s="3" t="s">
        <v>1949</v>
      </c>
      <c r="B1372" s="3">
        <f xml:space="preserve"> pscr * vfbb</f>
        <v>660</v>
      </c>
      <c r="C1372" s="1"/>
    </row>
    <row r="1373" spans="1:3" ht="17" x14ac:dyDescent="0.25">
      <c r="A1373" s="3" t="s">
        <v>2016</v>
      </c>
      <c r="B1373" s="3">
        <f>11</f>
        <v>11</v>
      </c>
      <c r="C1373" s="1"/>
    </row>
    <row r="1374" spans="1:3" ht="17" x14ac:dyDescent="0.25">
      <c r="A1374" s="3" t="s">
        <v>2017</v>
      </c>
      <c r="B1374" s="3">
        <f xml:space="preserve"> jpzn * dslt</f>
        <v>580</v>
      </c>
      <c r="C1374" s="1"/>
    </row>
    <row r="1375" spans="1:3" ht="17" x14ac:dyDescent="0.25">
      <c r="A1375" s="3" t="s">
        <v>1085</v>
      </c>
      <c r="B1375" s="3">
        <f xml:space="preserve"> pbdh * qbgz</f>
        <v>22</v>
      </c>
      <c r="C1375" s="1"/>
    </row>
    <row r="1376" spans="1:3" ht="17" x14ac:dyDescent="0.25">
      <c r="A1376" s="3" t="s">
        <v>2021</v>
      </c>
      <c r="B1376" s="3">
        <f>9</f>
        <v>9</v>
      </c>
      <c r="C1376" s="1"/>
    </row>
    <row r="1377" spans="1:3" ht="17" x14ac:dyDescent="0.25">
      <c r="A1377" s="3" t="s">
        <v>2022</v>
      </c>
      <c r="B1377" s="3">
        <f xml:space="preserve"> lbzl * wqmt</f>
        <v>8</v>
      </c>
      <c r="C1377" s="1"/>
    </row>
    <row r="1378" spans="1:3" ht="17" x14ac:dyDescent="0.25">
      <c r="A1378" s="3" t="s">
        <v>2024</v>
      </c>
      <c r="B1378" s="3">
        <f>13</f>
        <v>13</v>
      </c>
      <c r="C1378" s="1"/>
    </row>
    <row r="1379" spans="1:3" ht="17" x14ac:dyDescent="0.25">
      <c r="A1379" s="3" t="s">
        <v>2025</v>
      </c>
      <c r="B1379" s="3">
        <f xml:space="preserve"> dtdq * pzfd</f>
        <v>332</v>
      </c>
      <c r="C1379" s="1"/>
    </row>
    <row r="1380" spans="1:3" ht="17" x14ac:dyDescent="0.25">
      <c r="A1380" s="3" t="s">
        <v>2028</v>
      </c>
      <c r="B1380" s="3">
        <f xml:space="preserve"> jczr * pfph</f>
        <v>129</v>
      </c>
      <c r="C1380" s="1"/>
    </row>
    <row r="1381" spans="1:3" ht="17" x14ac:dyDescent="0.25">
      <c r="A1381" s="3" t="s">
        <v>2030</v>
      </c>
      <c r="B1381" s="3">
        <f>2</f>
        <v>2</v>
      </c>
      <c r="C1381" s="1"/>
    </row>
    <row r="1382" spans="1:3" ht="17" x14ac:dyDescent="0.25">
      <c r="A1382" s="3" t="s">
        <v>1377</v>
      </c>
      <c r="B1382" s="3">
        <f xml:space="preserve"> hqbt * rdpp</f>
        <v>46</v>
      </c>
      <c r="C1382" s="1"/>
    </row>
    <row r="1383" spans="1:3" ht="17" x14ac:dyDescent="0.25">
      <c r="A1383" s="3" t="s">
        <v>2033</v>
      </c>
      <c r="B1383" s="3">
        <f xml:space="preserve"> vvwr * smqr</f>
        <v>8</v>
      </c>
      <c r="C1383" s="1"/>
    </row>
    <row r="1384" spans="1:3" ht="17" x14ac:dyDescent="0.25">
      <c r="A1384" s="3" t="s">
        <v>2034</v>
      </c>
      <c r="B1384" s="3">
        <f>2</f>
        <v>2</v>
      </c>
      <c r="C1384" s="1"/>
    </row>
    <row r="1385" spans="1:3" ht="17" x14ac:dyDescent="0.25">
      <c r="A1385" s="3" t="s">
        <v>596</v>
      </c>
      <c r="B1385" s="3">
        <f xml:space="preserve"> wjpt * vgqr</f>
        <v>58</v>
      </c>
      <c r="C1385" s="1"/>
    </row>
    <row r="1386" spans="1:3" ht="17" x14ac:dyDescent="0.25">
      <c r="A1386" s="3" t="s">
        <v>2036</v>
      </c>
      <c r="B1386" s="3">
        <f xml:space="preserve"> fswg * fqrj</f>
        <v>323</v>
      </c>
      <c r="C1386" s="1"/>
    </row>
    <row r="1387" spans="1:3" ht="17" x14ac:dyDescent="0.25">
      <c r="A1387" s="3" t="s">
        <v>1171</v>
      </c>
      <c r="B1387" s="3">
        <f>18</f>
        <v>18</v>
      </c>
      <c r="C1387" s="1"/>
    </row>
    <row r="1388" spans="1:3" ht="17" x14ac:dyDescent="0.25">
      <c r="A1388" s="3" t="s">
        <v>2038</v>
      </c>
      <c r="B1388" s="3">
        <f xml:space="preserve"> nfgw * zbbs</f>
        <v>1038</v>
      </c>
      <c r="C1388" s="1"/>
    </row>
    <row r="1389" spans="1:3" ht="17" x14ac:dyDescent="0.25">
      <c r="A1389" s="3" t="s">
        <v>2041</v>
      </c>
      <c r="B1389" s="3">
        <f>7</f>
        <v>7</v>
      </c>
      <c r="C1389" s="1"/>
    </row>
    <row r="1390" spans="1:3" ht="17" x14ac:dyDescent="0.25">
      <c r="A1390" s="3" t="s">
        <v>1065</v>
      </c>
      <c r="B1390" s="3">
        <f>3</f>
        <v>3</v>
      </c>
      <c r="C1390" s="1"/>
    </row>
    <row r="1391" spans="1:3" ht="17" x14ac:dyDescent="0.25">
      <c r="A1391" s="3" t="s">
        <v>1479</v>
      </c>
      <c r="B1391" s="3">
        <f xml:space="preserve"> prcs * jqjm</f>
        <v>38</v>
      </c>
      <c r="C1391" s="1"/>
    </row>
    <row r="1392" spans="1:3" ht="17" x14ac:dyDescent="0.25">
      <c r="A1392" s="3" t="s">
        <v>1968</v>
      </c>
      <c r="B1392" s="3">
        <f>13</f>
        <v>13</v>
      </c>
      <c r="C1392" s="1"/>
    </row>
    <row r="1393" spans="1:7" ht="17" x14ac:dyDescent="0.25">
      <c r="A1393" s="3" t="s">
        <v>1991</v>
      </c>
      <c r="B1393" s="3">
        <f xml:space="preserve"> dnsg / gtfz</f>
        <v>331</v>
      </c>
      <c r="C1393" s="1"/>
    </row>
    <row r="1394" spans="1:7" ht="17" x14ac:dyDescent="0.25">
      <c r="A1394" s="3" t="s">
        <v>2045</v>
      </c>
      <c r="B1394" s="3">
        <f xml:space="preserve"> npzq * hqhv</f>
        <v>112</v>
      </c>
      <c r="C1394" s="1"/>
    </row>
    <row r="1395" spans="1:7" ht="17" x14ac:dyDescent="0.25">
      <c r="A1395" s="3" t="s">
        <v>1372</v>
      </c>
      <c r="B1395" s="3">
        <f xml:space="preserve"> ggjg + dzdr</f>
        <v>6</v>
      </c>
      <c r="C1395" s="1"/>
    </row>
    <row r="1396" spans="1:7" ht="17" x14ac:dyDescent="0.25">
      <c r="A1396" s="3" t="s">
        <v>212</v>
      </c>
      <c r="B1396" s="3">
        <f xml:space="preserve"> rdmt + zhqv</f>
        <v>11</v>
      </c>
      <c r="C1396" s="1"/>
    </row>
    <row r="1397" spans="1:7" ht="17" x14ac:dyDescent="0.25">
      <c r="A1397" s="3" t="s">
        <v>2051</v>
      </c>
      <c r="B1397" s="3">
        <f>F1</f>
        <v>3759569926192</v>
      </c>
      <c r="C1397" s="1"/>
    </row>
    <row r="1398" spans="1:7" ht="17" x14ac:dyDescent="0.25">
      <c r="A1398" s="3" t="s">
        <v>1974</v>
      </c>
      <c r="B1398" s="3">
        <f xml:space="preserve"> gdcj * vfrz</f>
        <v>9</v>
      </c>
      <c r="C1398" s="1"/>
      <c r="G1398" s="2"/>
    </row>
    <row r="1399" spans="1:7" ht="17" x14ac:dyDescent="0.25">
      <c r="A1399" s="3" t="s">
        <v>2052</v>
      </c>
      <c r="B1399" s="3">
        <f>2</f>
        <v>2</v>
      </c>
      <c r="C1399" s="1"/>
    </row>
    <row r="1400" spans="1:7" ht="17" x14ac:dyDescent="0.25">
      <c r="A1400" s="3" t="s">
        <v>2053</v>
      </c>
      <c r="B1400" s="3">
        <f>3</f>
        <v>3</v>
      </c>
      <c r="C1400" s="1"/>
    </row>
    <row r="1401" spans="1:7" ht="17" x14ac:dyDescent="0.25">
      <c r="A1401" s="3" t="s">
        <v>2054</v>
      </c>
      <c r="B1401" s="3">
        <f xml:space="preserve"> nnqd + chwl</f>
        <v>1631</v>
      </c>
      <c r="C1401" s="1"/>
    </row>
    <row r="1402" spans="1:7" ht="17" x14ac:dyDescent="0.25">
      <c r="A1402" s="3" t="s">
        <v>1315</v>
      </c>
      <c r="B1402" s="3">
        <f xml:space="preserve"> dpwl * ppwp</f>
        <v>6</v>
      </c>
      <c r="C1402" s="1"/>
    </row>
    <row r="1403" spans="1:7" ht="17" x14ac:dyDescent="0.25">
      <c r="A1403" s="3" t="s">
        <v>2056</v>
      </c>
      <c r="B1403" s="3">
        <f xml:space="preserve"> nfzh - lhpg</f>
        <v>32</v>
      </c>
      <c r="C1403" s="1"/>
    </row>
    <row r="1404" spans="1:7" ht="17" x14ac:dyDescent="0.25">
      <c r="A1404" s="3" t="s">
        <v>1340</v>
      </c>
      <c r="B1404" s="3">
        <f>7</f>
        <v>7</v>
      </c>
      <c r="C1404" s="1"/>
    </row>
    <row r="1405" spans="1:7" ht="17" x14ac:dyDescent="0.25">
      <c r="A1405" s="3" t="s">
        <v>2058</v>
      </c>
      <c r="B1405" s="3">
        <f xml:space="preserve"> ntnd * sljl</f>
        <v>6</v>
      </c>
      <c r="C1405" s="1"/>
    </row>
    <row r="1406" spans="1:7" ht="17" x14ac:dyDescent="0.25">
      <c r="A1406" s="3" t="s">
        <v>835</v>
      </c>
      <c r="B1406" s="3">
        <f xml:space="preserve"> jpvw * tgtn</f>
        <v>10</v>
      </c>
      <c r="C1406" s="1"/>
    </row>
    <row r="1407" spans="1:7" ht="17" x14ac:dyDescent="0.25">
      <c r="A1407" s="3" t="s">
        <v>982</v>
      </c>
      <c r="B1407" s="3">
        <f xml:space="preserve"> bhgc * ffdb</f>
        <v>1652090</v>
      </c>
      <c r="C1407" s="1"/>
    </row>
    <row r="1408" spans="1:7" ht="17" x14ac:dyDescent="0.25">
      <c r="A1408" s="3" t="s">
        <v>1333</v>
      </c>
      <c r="B1408" s="3">
        <f xml:space="preserve"> zftc - qphq</f>
        <v>11</v>
      </c>
      <c r="C1408" s="1"/>
    </row>
    <row r="1409" spans="1:3" ht="17" x14ac:dyDescent="0.25">
      <c r="A1409" s="3" t="s">
        <v>127</v>
      </c>
      <c r="B1409" s="3">
        <f>2</f>
        <v>2</v>
      </c>
      <c r="C1409" s="1"/>
    </row>
    <row r="1410" spans="1:3" ht="17" x14ac:dyDescent="0.25">
      <c r="A1410" s="3" t="s">
        <v>465</v>
      </c>
      <c r="B1410" s="3">
        <f xml:space="preserve"> tbwd * ccds</f>
        <v>1182189</v>
      </c>
      <c r="C1410" s="1"/>
    </row>
    <row r="1411" spans="1:3" ht="17" x14ac:dyDescent="0.25">
      <c r="A1411" s="3" t="s">
        <v>837</v>
      </c>
      <c r="B1411" s="3">
        <f>8</f>
        <v>8</v>
      </c>
      <c r="C1411" s="1"/>
    </row>
    <row r="1412" spans="1:3" ht="17" x14ac:dyDescent="0.25">
      <c r="A1412" s="3" t="s">
        <v>577</v>
      </c>
      <c r="B1412" s="3">
        <f>4</f>
        <v>4</v>
      </c>
      <c r="C1412" s="1"/>
    </row>
    <row r="1413" spans="1:3" ht="17" x14ac:dyDescent="0.25">
      <c r="A1413" s="3" t="s">
        <v>2063</v>
      </c>
      <c r="B1413" s="3">
        <f xml:space="preserve"> znrf + tbpn</f>
        <v>101</v>
      </c>
      <c r="C1413" s="1"/>
    </row>
    <row r="1414" spans="1:3" ht="17" x14ac:dyDescent="0.25">
      <c r="A1414" s="3" t="s">
        <v>1920</v>
      </c>
      <c r="B1414" s="3">
        <f>7</f>
        <v>7</v>
      </c>
      <c r="C1414" s="1"/>
    </row>
    <row r="1415" spans="1:3" ht="17" x14ac:dyDescent="0.25">
      <c r="A1415" s="3" t="s">
        <v>2066</v>
      </c>
      <c r="B1415" s="3">
        <f xml:space="preserve"> nttm * cljq</f>
        <v>14</v>
      </c>
      <c r="C1415" s="1"/>
    </row>
    <row r="1416" spans="1:3" ht="17" x14ac:dyDescent="0.25">
      <c r="A1416" s="3" t="s">
        <v>2068</v>
      </c>
      <c r="B1416" s="3">
        <f>2</f>
        <v>2</v>
      </c>
      <c r="C1416" s="1"/>
    </row>
    <row r="1417" spans="1:3" ht="17" x14ac:dyDescent="0.25">
      <c r="A1417" s="3" t="s">
        <v>2069</v>
      </c>
      <c r="B1417" s="3">
        <f xml:space="preserve"> tgsc + zwrr</f>
        <v>59</v>
      </c>
      <c r="C1417" s="1"/>
    </row>
    <row r="1418" spans="1:3" ht="17" x14ac:dyDescent="0.25">
      <c r="A1418" s="3" t="s">
        <v>2072</v>
      </c>
      <c r="B1418" s="3">
        <f>3</f>
        <v>3</v>
      </c>
      <c r="C1418" s="1"/>
    </row>
    <row r="1419" spans="1:3" ht="17" x14ac:dyDescent="0.25">
      <c r="A1419" s="3" t="s">
        <v>2073</v>
      </c>
      <c r="B1419" s="3">
        <f xml:space="preserve"> bgws - fmjc</f>
        <v>19685</v>
      </c>
      <c r="C1419" s="1"/>
    </row>
    <row r="1420" spans="1:3" ht="17" x14ac:dyDescent="0.25">
      <c r="A1420" s="3" t="s">
        <v>2075</v>
      </c>
      <c r="B1420" s="3">
        <f>3</f>
        <v>3</v>
      </c>
      <c r="C1420" s="1"/>
    </row>
    <row r="1421" spans="1:3" ht="17" x14ac:dyDescent="0.25">
      <c r="A1421" s="3" t="s">
        <v>1194</v>
      </c>
      <c r="B1421" s="3">
        <f xml:space="preserve"> hcts + mzrj</f>
        <v>211</v>
      </c>
      <c r="C1421" s="1"/>
    </row>
    <row r="1422" spans="1:3" ht="17" x14ac:dyDescent="0.25">
      <c r="A1422" s="3" t="s">
        <v>1464</v>
      </c>
      <c r="B1422" s="3">
        <f>7</f>
        <v>7</v>
      </c>
      <c r="C1422" s="1"/>
    </row>
    <row r="1423" spans="1:3" ht="17" x14ac:dyDescent="0.25">
      <c r="A1423" s="3" t="s">
        <v>2077</v>
      </c>
      <c r="B1423" s="3">
        <f>4</f>
        <v>4</v>
      </c>
      <c r="C1423" s="1"/>
    </row>
    <row r="1424" spans="1:3" ht="17" x14ac:dyDescent="0.25">
      <c r="A1424" s="3" t="s">
        <v>2078</v>
      </c>
      <c r="B1424" s="3">
        <f xml:space="preserve"> gnfz * rfrm</f>
        <v>22</v>
      </c>
      <c r="C1424" s="1"/>
    </row>
    <row r="1425" spans="1:3" ht="17" x14ac:dyDescent="0.25">
      <c r="A1425" s="3" t="s">
        <v>2080</v>
      </c>
      <c r="B1425" s="3">
        <f>9</f>
        <v>9</v>
      </c>
      <c r="C1425" s="1"/>
    </row>
    <row r="1426" spans="1:3" ht="17" x14ac:dyDescent="0.25">
      <c r="A1426" s="3" t="s">
        <v>2070</v>
      </c>
      <c r="B1426" s="3">
        <f>2</f>
        <v>2</v>
      </c>
      <c r="C1426" s="1"/>
    </row>
    <row r="1427" spans="1:3" ht="17" x14ac:dyDescent="0.25">
      <c r="A1427" s="3" t="s">
        <v>1894</v>
      </c>
      <c r="B1427" s="3">
        <f>2</f>
        <v>2</v>
      </c>
      <c r="C1427" s="1"/>
    </row>
    <row r="1428" spans="1:3" ht="17" x14ac:dyDescent="0.25">
      <c r="A1428" s="3" t="s">
        <v>2081</v>
      </c>
      <c r="B1428" s="3">
        <f>3</f>
        <v>3</v>
      </c>
      <c r="C1428" s="1"/>
    </row>
    <row r="1429" spans="1:3" ht="17" x14ac:dyDescent="0.25">
      <c r="A1429" s="3" t="s">
        <v>534</v>
      </c>
      <c r="B1429" s="3">
        <f xml:space="preserve"> msnd + srsl</f>
        <v>7</v>
      </c>
      <c r="C1429" s="1"/>
    </row>
    <row r="1430" spans="1:3" ht="17" x14ac:dyDescent="0.25">
      <c r="A1430" s="3" t="s">
        <v>170</v>
      </c>
      <c r="B1430" s="3">
        <f xml:space="preserve"> ldnh + slmh</f>
        <v>179</v>
      </c>
      <c r="C1430" s="1"/>
    </row>
    <row r="1431" spans="1:3" ht="17" x14ac:dyDescent="0.25">
      <c r="A1431" s="3" t="s">
        <v>2085</v>
      </c>
      <c r="B1431" s="3">
        <f xml:space="preserve"> spbn + qmhg</f>
        <v>34</v>
      </c>
      <c r="C1431" s="1"/>
    </row>
    <row r="1432" spans="1:3" ht="17" x14ac:dyDescent="0.25">
      <c r="A1432" s="3" t="s">
        <v>2087</v>
      </c>
      <c r="B1432" s="3">
        <f xml:space="preserve"> nzhv * zzhl</f>
        <v>8</v>
      </c>
      <c r="C1432" s="1"/>
    </row>
    <row r="1433" spans="1:3" ht="17" x14ac:dyDescent="0.25">
      <c r="A1433" s="3" t="s">
        <v>918</v>
      </c>
      <c r="B1433" s="3">
        <f>3</f>
        <v>3</v>
      </c>
      <c r="C1433" s="1"/>
    </row>
    <row r="1434" spans="1:3" ht="17" x14ac:dyDescent="0.25">
      <c r="A1434" s="3" t="s">
        <v>2088</v>
      </c>
      <c r="B1434" s="3">
        <f>5</f>
        <v>5</v>
      </c>
      <c r="C1434" s="1"/>
    </row>
    <row r="1435" spans="1:3" ht="17" x14ac:dyDescent="0.25">
      <c r="A1435" s="3" t="s">
        <v>1293</v>
      </c>
      <c r="B1435" s="3">
        <f>5</f>
        <v>5</v>
      </c>
      <c r="C1435" s="1"/>
    </row>
    <row r="1436" spans="1:3" ht="17" x14ac:dyDescent="0.25">
      <c r="A1436" s="3" t="s">
        <v>2089</v>
      </c>
      <c r="B1436" s="3">
        <f xml:space="preserve"> sfrm * zrpj</f>
        <v>24</v>
      </c>
      <c r="C1436" s="1"/>
    </row>
    <row r="1437" spans="1:3" ht="17" x14ac:dyDescent="0.25">
      <c r="A1437" s="3" t="s">
        <v>2090</v>
      </c>
      <c r="B1437" s="3">
        <f>2</f>
        <v>2</v>
      </c>
      <c r="C1437" s="1"/>
    </row>
    <row r="1438" spans="1:3" ht="17" x14ac:dyDescent="0.25">
      <c r="A1438" s="3" t="s">
        <v>951</v>
      </c>
      <c r="B1438" s="3">
        <f>2</f>
        <v>2</v>
      </c>
      <c r="C1438" s="1"/>
    </row>
    <row r="1439" spans="1:3" ht="17" x14ac:dyDescent="0.25">
      <c r="A1439" s="3" t="s">
        <v>410</v>
      </c>
      <c r="B1439" s="3">
        <f xml:space="preserve"> grsv * mbnh</f>
        <v>377</v>
      </c>
      <c r="C1439" s="1"/>
    </row>
    <row r="1440" spans="1:3" ht="17" x14ac:dyDescent="0.25">
      <c r="A1440" s="3" t="s">
        <v>2091</v>
      </c>
      <c r="B1440" s="3">
        <f>13</f>
        <v>13</v>
      </c>
      <c r="C1440" s="1"/>
    </row>
    <row r="1441" spans="1:3" ht="17" x14ac:dyDescent="0.25">
      <c r="A1441" s="3" t="s">
        <v>978</v>
      </c>
      <c r="B1441" s="3">
        <f xml:space="preserve"> mqcr * bhqd</f>
        <v>136</v>
      </c>
      <c r="C1441" s="1"/>
    </row>
    <row r="1442" spans="1:3" ht="17" x14ac:dyDescent="0.25">
      <c r="A1442" s="3" t="s">
        <v>1444</v>
      </c>
      <c r="B1442" s="3">
        <f>6</f>
        <v>6</v>
      </c>
      <c r="C1442" s="1"/>
    </row>
    <row r="1443" spans="1:3" ht="17" x14ac:dyDescent="0.25">
      <c r="A1443" s="3" t="s">
        <v>700</v>
      </c>
      <c r="B1443" s="3">
        <f xml:space="preserve"> wrfn * vrgz</f>
        <v>27</v>
      </c>
      <c r="C1443" s="1"/>
    </row>
    <row r="1444" spans="1:3" ht="17" x14ac:dyDescent="0.25">
      <c r="A1444" s="3" t="s">
        <v>2094</v>
      </c>
      <c r="B1444" s="3">
        <f>2</f>
        <v>2</v>
      </c>
      <c r="C1444" s="1"/>
    </row>
    <row r="1445" spans="1:3" ht="17" x14ac:dyDescent="0.25">
      <c r="A1445" s="3" t="s">
        <v>2095</v>
      </c>
      <c r="B1445" s="3">
        <f>4</f>
        <v>4</v>
      </c>
      <c r="C1445" s="1"/>
    </row>
    <row r="1446" spans="1:3" ht="17" x14ac:dyDescent="0.25">
      <c r="A1446" s="3" t="s">
        <v>2096</v>
      </c>
      <c r="B1446" s="3">
        <f>12</f>
        <v>12</v>
      </c>
      <c r="C1446" s="1"/>
    </row>
    <row r="1447" spans="1:3" ht="17" x14ac:dyDescent="0.25">
      <c r="A1447" s="3" t="s">
        <v>2097</v>
      </c>
      <c r="B1447" s="3">
        <f>4</f>
        <v>4</v>
      </c>
      <c r="C1447" s="1"/>
    </row>
    <row r="1448" spans="1:3" ht="17" x14ac:dyDescent="0.25">
      <c r="A1448" s="3" t="s">
        <v>2098</v>
      </c>
      <c r="B1448" s="3">
        <f>3</f>
        <v>3</v>
      </c>
      <c r="C1448" s="1"/>
    </row>
    <row r="1449" spans="1:3" ht="17" x14ac:dyDescent="0.25">
      <c r="A1449" s="3" t="s">
        <v>2099</v>
      </c>
      <c r="B1449" s="3">
        <f>9</f>
        <v>9</v>
      </c>
      <c r="C1449" s="1"/>
    </row>
    <row r="1450" spans="1:3" ht="17" x14ac:dyDescent="0.25">
      <c r="A1450" s="3" t="s">
        <v>2100</v>
      </c>
      <c r="B1450" s="3">
        <f xml:space="preserve"> cttg * hlqd</f>
        <v>184</v>
      </c>
      <c r="C1450" s="1"/>
    </row>
    <row r="1451" spans="1:3" ht="17" x14ac:dyDescent="0.25">
      <c r="A1451" s="3" t="s">
        <v>505</v>
      </c>
      <c r="B1451" s="3">
        <f>7</f>
        <v>7</v>
      </c>
      <c r="C1451" s="1"/>
    </row>
    <row r="1452" spans="1:3" ht="17" x14ac:dyDescent="0.25">
      <c r="A1452" s="3" t="s">
        <v>2102</v>
      </c>
      <c r="B1452" s="3">
        <f xml:space="preserve"> vlzm - hzgc</f>
        <v>167</v>
      </c>
      <c r="C1452" s="1"/>
    </row>
    <row r="1453" spans="1:3" ht="17" x14ac:dyDescent="0.25">
      <c r="A1453" s="3" t="s">
        <v>1351</v>
      </c>
      <c r="B1453" s="3">
        <f>18</f>
        <v>18</v>
      </c>
      <c r="C1453" s="1"/>
    </row>
    <row r="1454" spans="1:3" ht="17" x14ac:dyDescent="0.25">
      <c r="A1454" s="3" t="s">
        <v>151</v>
      </c>
      <c r="B1454" s="3">
        <f xml:space="preserve"> rtvg * zmcn</f>
        <v>33</v>
      </c>
      <c r="C1454" s="1"/>
    </row>
    <row r="1455" spans="1:3" ht="17" x14ac:dyDescent="0.25">
      <c r="A1455" s="3" t="s">
        <v>1437</v>
      </c>
      <c r="B1455" s="3">
        <f xml:space="preserve"> psmc + ggrf</f>
        <v>1685</v>
      </c>
      <c r="C1455" s="1"/>
    </row>
    <row r="1456" spans="1:3" ht="17" x14ac:dyDescent="0.25">
      <c r="A1456" s="3" t="s">
        <v>2108</v>
      </c>
      <c r="B1456" s="3">
        <f>3</f>
        <v>3</v>
      </c>
      <c r="C1456" s="1"/>
    </row>
    <row r="1457" spans="1:3" ht="17" x14ac:dyDescent="0.25">
      <c r="A1457" s="3" t="s">
        <v>2109</v>
      </c>
      <c r="B1457" s="3">
        <f xml:space="preserve"> fzms + hbns</f>
        <v>19</v>
      </c>
      <c r="C1457" s="1"/>
    </row>
    <row r="1458" spans="1:3" ht="17" x14ac:dyDescent="0.25">
      <c r="A1458" s="3" t="s">
        <v>2110</v>
      </c>
      <c r="B1458" s="3">
        <f xml:space="preserve"> mjmv * jgfp</f>
        <v>224</v>
      </c>
      <c r="C1458" s="1"/>
    </row>
    <row r="1459" spans="1:3" ht="17" x14ac:dyDescent="0.25">
      <c r="A1459" s="3" t="s">
        <v>1110</v>
      </c>
      <c r="B1459" s="3">
        <f>2</f>
        <v>2</v>
      </c>
      <c r="C1459" s="1"/>
    </row>
    <row r="1460" spans="1:3" ht="17" x14ac:dyDescent="0.25">
      <c r="A1460" s="3" t="s">
        <v>2112</v>
      </c>
      <c r="B1460" s="3">
        <f>5</f>
        <v>5</v>
      </c>
      <c r="C1460" s="1"/>
    </row>
    <row r="1461" spans="1:3" ht="17" x14ac:dyDescent="0.25">
      <c r="A1461" s="3" t="s">
        <v>949</v>
      </c>
      <c r="B1461" s="3">
        <f xml:space="preserve"> vcvh + ltsr</f>
        <v>7</v>
      </c>
      <c r="C1461" s="1"/>
    </row>
    <row r="1462" spans="1:3" ht="17" x14ac:dyDescent="0.25">
      <c r="A1462" s="3" t="s">
        <v>2113</v>
      </c>
      <c r="B1462" s="3">
        <f>1</f>
        <v>1</v>
      </c>
      <c r="C1462" s="1"/>
    </row>
    <row r="1463" spans="1:3" ht="17" x14ac:dyDescent="0.25">
      <c r="A1463" s="3" t="s">
        <v>1880</v>
      </c>
      <c r="B1463" s="3">
        <f xml:space="preserve"> qlhv + fsgb</f>
        <v>223</v>
      </c>
      <c r="C1463" s="1"/>
    </row>
    <row r="1464" spans="1:3" ht="17" x14ac:dyDescent="0.25">
      <c r="A1464" s="3" t="s">
        <v>2116</v>
      </c>
      <c r="B1464" s="3">
        <f>4</f>
        <v>4</v>
      </c>
      <c r="C1464" s="1"/>
    </row>
    <row r="1465" spans="1:3" ht="17" x14ac:dyDescent="0.25">
      <c r="A1465" s="3" t="s">
        <v>1908</v>
      </c>
      <c r="B1465" s="3">
        <f xml:space="preserve"> rrtr * gzfn</f>
        <v>8</v>
      </c>
      <c r="C1465" s="1"/>
    </row>
    <row r="1466" spans="1:3" ht="17" x14ac:dyDescent="0.25">
      <c r="A1466" s="3" t="s">
        <v>2118</v>
      </c>
      <c r="B1466" s="3">
        <f>13</f>
        <v>13</v>
      </c>
      <c r="C1466" s="1"/>
    </row>
    <row r="1467" spans="1:3" ht="17" x14ac:dyDescent="0.25">
      <c r="A1467" s="3" t="s">
        <v>1248</v>
      </c>
      <c r="B1467" s="3">
        <f xml:space="preserve"> fsqc * rnpf</f>
        <v>57</v>
      </c>
      <c r="C1467" s="1"/>
    </row>
    <row r="1468" spans="1:3" ht="17" x14ac:dyDescent="0.25">
      <c r="A1468" s="3" t="s">
        <v>1933</v>
      </c>
      <c r="B1468" s="3">
        <f xml:space="preserve"> jwql * gmnw</f>
        <v>48</v>
      </c>
      <c r="C1468" s="1"/>
    </row>
    <row r="1469" spans="1:3" ht="17" x14ac:dyDescent="0.25">
      <c r="A1469" s="3" t="s">
        <v>593</v>
      </c>
      <c r="B1469" s="3">
        <f>4</f>
        <v>4</v>
      </c>
      <c r="C1469" s="1"/>
    </row>
    <row r="1470" spans="1:3" ht="17" x14ac:dyDescent="0.25">
      <c r="A1470" s="3" t="s">
        <v>1472</v>
      </c>
      <c r="B1470" s="3">
        <f xml:space="preserve"> vftv * hfnn</f>
        <v>27</v>
      </c>
      <c r="C1470" s="1"/>
    </row>
    <row r="1471" spans="1:3" ht="17" x14ac:dyDescent="0.25">
      <c r="A1471" s="3" t="s">
        <v>2120</v>
      </c>
      <c r="B1471" s="3">
        <f xml:space="preserve"> brzp * qrcf</f>
        <v>2592</v>
      </c>
      <c r="C1471" s="1"/>
    </row>
    <row r="1472" spans="1:3" ht="17" x14ac:dyDescent="0.25">
      <c r="A1472" s="3" t="s">
        <v>2122</v>
      </c>
      <c r="B1472" s="3">
        <f>3</f>
        <v>3</v>
      </c>
      <c r="C1472" s="1"/>
    </row>
    <row r="1473" spans="1:3" ht="17" x14ac:dyDescent="0.25">
      <c r="A1473" s="3" t="s">
        <v>2123</v>
      </c>
      <c r="B1473" s="3">
        <f>3</f>
        <v>3</v>
      </c>
      <c r="C1473" s="1"/>
    </row>
    <row r="1474" spans="1:3" ht="17" x14ac:dyDescent="0.25">
      <c r="A1474" s="3" t="s">
        <v>1300</v>
      </c>
      <c r="B1474" s="3">
        <f xml:space="preserve"> vhqf * gnzn</f>
        <v>472</v>
      </c>
      <c r="C1474" s="1"/>
    </row>
    <row r="1475" spans="1:3" ht="17" x14ac:dyDescent="0.25">
      <c r="A1475" s="3" t="s">
        <v>1021</v>
      </c>
      <c r="B1475" s="3">
        <f xml:space="preserve"> bgqf * flhn</f>
        <v>78935208718</v>
      </c>
      <c r="C1475" s="1"/>
    </row>
    <row r="1476" spans="1:3" ht="17" x14ac:dyDescent="0.25">
      <c r="A1476" s="3" t="s">
        <v>2026</v>
      </c>
      <c r="B1476" s="3">
        <f xml:space="preserve"> btls + vftj</f>
        <v>83</v>
      </c>
      <c r="C1476" s="1"/>
    </row>
    <row r="1477" spans="1:3" ht="17" x14ac:dyDescent="0.25">
      <c r="A1477" s="3" t="s">
        <v>2130</v>
      </c>
      <c r="B1477" s="3">
        <f>2</f>
        <v>2</v>
      </c>
      <c r="C1477" s="1"/>
    </row>
    <row r="1478" spans="1:3" ht="17" x14ac:dyDescent="0.25">
      <c r="A1478" s="3" t="s">
        <v>1538</v>
      </c>
      <c r="B1478" s="3">
        <f>4</f>
        <v>4</v>
      </c>
      <c r="C1478" s="1"/>
    </row>
    <row r="1479" spans="1:3" ht="17" x14ac:dyDescent="0.25">
      <c r="A1479" s="3" t="s">
        <v>2131</v>
      </c>
      <c r="B1479" s="3">
        <f xml:space="preserve"> lvnq * lpqd</f>
        <v>35</v>
      </c>
      <c r="C1479" s="1"/>
    </row>
    <row r="1480" spans="1:3" ht="17" x14ac:dyDescent="0.25">
      <c r="A1480" s="3" t="s">
        <v>178</v>
      </c>
      <c r="B1480" s="3">
        <f xml:space="preserve"> svpw * qhvb</f>
        <v>6</v>
      </c>
      <c r="C1480" s="1"/>
    </row>
    <row r="1481" spans="1:3" ht="17" x14ac:dyDescent="0.25">
      <c r="A1481" s="3" t="s">
        <v>2134</v>
      </c>
      <c r="B1481" s="3">
        <f>16</f>
        <v>16</v>
      </c>
      <c r="C1481" s="1"/>
    </row>
    <row r="1482" spans="1:3" ht="17" x14ac:dyDescent="0.25">
      <c r="A1482" s="3" t="s">
        <v>1551</v>
      </c>
      <c r="B1482" s="3">
        <f>8</f>
        <v>8</v>
      </c>
      <c r="C1482" s="1"/>
    </row>
    <row r="1483" spans="1:3" ht="17" x14ac:dyDescent="0.25">
      <c r="A1483" s="3" t="s">
        <v>2135</v>
      </c>
      <c r="B1483" s="3">
        <f>1</f>
        <v>1</v>
      </c>
      <c r="C1483" s="1"/>
    </row>
    <row r="1484" spans="1:3" ht="17" x14ac:dyDescent="0.25">
      <c r="A1484" s="3" t="s">
        <v>2136</v>
      </c>
      <c r="B1484" s="3">
        <f>18</f>
        <v>18</v>
      </c>
      <c r="C1484" s="1"/>
    </row>
    <row r="1485" spans="1:3" ht="17" x14ac:dyDescent="0.25">
      <c r="A1485" s="3" t="s">
        <v>1545</v>
      </c>
      <c r="B1485" s="3">
        <f xml:space="preserve"> wwms - clhb</f>
        <v>34086767336224</v>
      </c>
      <c r="C1485" s="1"/>
    </row>
    <row r="1486" spans="1:3" ht="17" x14ac:dyDescent="0.25">
      <c r="A1486" s="3" t="s">
        <v>2139</v>
      </c>
      <c r="B1486" s="3">
        <f xml:space="preserve"> sjwq * vmwv</f>
        <v>10</v>
      </c>
      <c r="C1486" s="1"/>
    </row>
    <row r="1487" spans="1:3" ht="17" x14ac:dyDescent="0.25">
      <c r="A1487" s="3" t="s">
        <v>2141</v>
      </c>
      <c r="B1487" s="3">
        <f>9</f>
        <v>9</v>
      </c>
      <c r="C1487" s="1"/>
    </row>
    <row r="1488" spans="1:3" ht="17" x14ac:dyDescent="0.25">
      <c r="A1488" s="3" t="s">
        <v>1999</v>
      </c>
      <c r="B1488" s="3">
        <f>9</f>
        <v>9</v>
      </c>
      <c r="C1488" s="1"/>
    </row>
    <row r="1489" spans="1:3" ht="17" x14ac:dyDescent="0.25">
      <c r="A1489" s="3" t="s">
        <v>1860</v>
      </c>
      <c r="B1489" s="3">
        <f>2</f>
        <v>2</v>
      </c>
      <c r="C1489" s="1"/>
    </row>
    <row r="1490" spans="1:3" ht="17" x14ac:dyDescent="0.25">
      <c r="A1490" s="3" t="s">
        <v>2142</v>
      </c>
      <c r="B1490" s="3">
        <f>3</f>
        <v>3</v>
      </c>
      <c r="C1490" s="1"/>
    </row>
    <row r="1491" spans="1:3" ht="17" x14ac:dyDescent="0.25">
      <c r="A1491" s="3" t="s">
        <v>360</v>
      </c>
      <c r="B1491" s="3">
        <f>3</f>
        <v>3</v>
      </c>
      <c r="C1491" s="1"/>
    </row>
    <row r="1492" spans="1:3" ht="17" x14ac:dyDescent="0.25">
      <c r="A1492" s="3" t="s">
        <v>2143</v>
      </c>
      <c r="B1492" s="3">
        <f>2</f>
        <v>2</v>
      </c>
      <c r="C1492" s="1"/>
    </row>
    <row r="1493" spans="1:3" ht="17" x14ac:dyDescent="0.25">
      <c r="A1493" s="3" t="s">
        <v>754</v>
      </c>
      <c r="B1493" s="3">
        <f>11</f>
        <v>11</v>
      </c>
      <c r="C1493" s="1"/>
    </row>
    <row r="1494" spans="1:3" ht="17" x14ac:dyDescent="0.25">
      <c r="A1494" s="3" t="s">
        <v>2144</v>
      </c>
      <c r="B1494" s="3">
        <f>2</f>
        <v>2</v>
      </c>
      <c r="C1494" s="1"/>
    </row>
    <row r="1495" spans="1:3" ht="17" x14ac:dyDescent="0.25">
      <c r="A1495" s="3" t="s">
        <v>2145</v>
      </c>
      <c r="B1495" s="3">
        <f>2</f>
        <v>2</v>
      </c>
      <c r="C1495" s="1"/>
    </row>
    <row r="1496" spans="1:3" ht="17" x14ac:dyDescent="0.25">
      <c r="A1496" s="3" t="s">
        <v>2146</v>
      </c>
      <c r="B1496" s="3">
        <f>3</f>
        <v>3</v>
      </c>
      <c r="C1496" s="1"/>
    </row>
    <row r="1497" spans="1:3" ht="17" x14ac:dyDescent="0.25">
      <c r="A1497" s="3" t="s">
        <v>1097</v>
      </c>
      <c r="B1497" s="3">
        <f>5</f>
        <v>5</v>
      </c>
      <c r="C1497" s="1"/>
    </row>
    <row r="1498" spans="1:3" ht="17" x14ac:dyDescent="0.25">
      <c r="A1498" s="3" t="s">
        <v>13</v>
      </c>
      <c r="B1498" s="3">
        <f xml:space="preserve"> svmn + njrg</f>
        <v>7</v>
      </c>
      <c r="C1498" s="1"/>
    </row>
    <row r="1499" spans="1:3" ht="17" x14ac:dyDescent="0.25">
      <c r="A1499" s="3" t="s">
        <v>2004</v>
      </c>
      <c r="B1499" s="3">
        <f xml:space="preserve"> sbjz + wjnt</f>
        <v>463</v>
      </c>
      <c r="C1499" s="1"/>
    </row>
    <row r="1500" spans="1:3" ht="17" x14ac:dyDescent="0.25">
      <c r="A1500" s="3" t="s">
        <v>2150</v>
      </c>
      <c r="B1500" s="3">
        <f xml:space="preserve"> qgbl * cnrp</f>
        <v>66</v>
      </c>
      <c r="C1500" s="1"/>
    </row>
    <row r="1501" spans="1:3" ht="17" x14ac:dyDescent="0.25">
      <c r="A1501" s="3" t="s">
        <v>2152</v>
      </c>
      <c r="B1501" s="3">
        <f xml:space="preserve"> fjjc + bgrd</f>
        <v>61</v>
      </c>
      <c r="C1501" s="1"/>
    </row>
    <row r="1502" spans="1:3" ht="17" x14ac:dyDescent="0.25">
      <c r="A1502" s="3" t="s">
        <v>820</v>
      </c>
      <c r="B1502" s="3">
        <f>2</f>
        <v>2</v>
      </c>
      <c r="C1502" s="1"/>
    </row>
    <row r="1503" spans="1:3" ht="17" x14ac:dyDescent="0.25">
      <c r="A1503" s="3" t="s">
        <v>1611</v>
      </c>
      <c r="B1503" s="3">
        <f>2</f>
        <v>2</v>
      </c>
      <c r="C1503" s="1"/>
    </row>
    <row r="1504" spans="1:3" ht="17" x14ac:dyDescent="0.25">
      <c r="A1504" s="3" t="s">
        <v>1045</v>
      </c>
      <c r="B1504" s="3">
        <f>8</f>
        <v>8</v>
      </c>
      <c r="C1504" s="1"/>
    </row>
    <row r="1505" spans="1:3" ht="17" x14ac:dyDescent="0.25">
      <c r="A1505" s="3" t="s">
        <v>2153</v>
      </c>
      <c r="B1505" s="3">
        <f xml:space="preserve"> jfnr * zvhr</f>
        <v>49</v>
      </c>
      <c r="C1505" s="1"/>
    </row>
    <row r="1506" spans="1:3" ht="17" x14ac:dyDescent="0.25">
      <c r="A1506" s="3" t="s">
        <v>1757</v>
      </c>
      <c r="B1506" s="3">
        <f xml:space="preserve"> srvg / vqwv</f>
        <v>11</v>
      </c>
      <c r="C1506" s="1"/>
    </row>
    <row r="1507" spans="1:3" ht="17" x14ac:dyDescent="0.25">
      <c r="A1507" s="3" t="s">
        <v>1751</v>
      </c>
      <c r="B1507" s="3">
        <f xml:space="preserve"> cppj + fzgw</f>
        <v>7553714</v>
      </c>
      <c r="C1507" s="1"/>
    </row>
    <row r="1508" spans="1:3" ht="17" x14ac:dyDescent="0.25">
      <c r="A1508" s="3" t="s">
        <v>876</v>
      </c>
      <c r="B1508" s="3">
        <f>2</f>
        <v>2</v>
      </c>
      <c r="C1508" s="1"/>
    </row>
    <row r="1509" spans="1:3" ht="17" x14ac:dyDescent="0.25">
      <c r="A1509" s="3" t="s">
        <v>2158</v>
      </c>
      <c r="B1509" s="3">
        <f xml:space="preserve"> wjwz - rqzq</f>
        <v>20452060399295</v>
      </c>
      <c r="C1509" s="1"/>
    </row>
    <row r="1510" spans="1:3" ht="17" x14ac:dyDescent="0.25">
      <c r="A1510" s="3" t="s">
        <v>1390</v>
      </c>
      <c r="B1510" s="3">
        <f>5</f>
        <v>5</v>
      </c>
      <c r="C1510" s="1"/>
    </row>
    <row r="1511" spans="1:3" ht="17" x14ac:dyDescent="0.25">
      <c r="A1511" s="3" t="s">
        <v>2161</v>
      </c>
      <c r="B1511" s="3">
        <f xml:space="preserve"> fdhc - bscd</f>
        <v>28405639442850</v>
      </c>
      <c r="C1511" s="1"/>
    </row>
    <row r="1512" spans="1:3" ht="17" x14ac:dyDescent="0.25">
      <c r="A1512" s="3" t="s">
        <v>2163</v>
      </c>
      <c r="B1512" s="3">
        <f xml:space="preserve"> czgl * fwsl</f>
        <v>6</v>
      </c>
      <c r="C1512" s="1"/>
    </row>
    <row r="1513" spans="1:3" ht="17" x14ac:dyDescent="0.25">
      <c r="A1513" s="3" t="s">
        <v>401</v>
      </c>
      <c r="B1513" s="3">
        <f xml:space="preserve"> cmpz * tflj</f>
        <v>60</v>
      </c>
      <c r="C1513" s="1"/>
    </row>
    <row r="1514" spans="1:3" ht="17" x14ac:dyDescent="0.25">
      <c r="A1514" s="3" t="s">
        <v>1856</v>
      </c>
      <c r="B1514" s="3">
        <f xml:space="preserve"> wjgw * wrrz</f>
        <v>33</v>
      </c>
      <c r="C1514" s="1"/>
    </row>
    <row r="1515" spans="1:3" ht="17" x14ac:dyDescent="0.25">
      <c r="A1515" s="3" t="s">
        <v>2168</v>
      </c>
      <c r="B1515" s="3">
        <f xml:space="preserve"> zlbd / vcst</f>
        <v>593</v>
      </c>
      <c r="C1515" s="1"/>
    </row>
    <row r="1516" spans="1:3" ht="17" x14ac:dyDescent="0.25">
      <c r="A1516" s="3" t="s">
        <v>2170</v>
      </c>
      <c r="B1516" s="3">
        <f xml:space="preserve"> hnvb * lthz</f>
        <v>16</v>
      </c>
      <c r="C1516" s="1"/>
    </row>
    <row r="1517" spans="1:3" ht="17" x14ac:dyDescent="0.25">
      <c r="A1517" s="3" t="s">
        <v>140</v>
      </c>
      <c r="B1517" s="3">
        <f>5</f>
        <v>5</v>
      </c>
      <c r="C1517" s="1"/>
    </row>
    <row r="1518" spans="1:3" ht="17" x14ac:dyDescent="0.25">
      <c r="A1518" s="3" t="s">
        <v>203</v>
      </c>
      <c r="B1518" s="3">
        <f xml:space="preserve"> qqlr * tqdc</f>
        <v>177</v>
      </c>
      <c r="C1518" s="1"/>
    </row>
    <row r="1519" spans="1:3" ht="17" x14ac:dyDescent="0.25">
      <c r="A1519" s="3" t="s">
        <v>1512</v>
      </c>
      <c r="B1519" s="3">
        <f>3</f>
        <v>3</v>
      </c>
      <c r="C1519" s="1"/>
    </row>
    <row r="1520" spans="1:3" ht="17" x14ac:dyDescent="0.25">
      <c r="A1520" s="3" t="s">
        <v>2172</v>
      </c>
      <c r="B1520" s="3">
        <f xml:space="preserve"> hznq + hqdc</f>
        <v>255650755000255</v>
      </c>
      <c r="C1520" s="1"/>
    </row>
    <row r="1521" spans="1:3" ht="17" x14ac:dyDescent="0.25">
      <c r="A1521" s="3" t="s">
        <v>991</v>
      </c>
      <c r="B1521" s="3">
        <f>3</f>
        <v>3</v>
      </c>
      <c r="C1521" s="1"/>
    </row>
    <row r="1522" spans="1:3" ht="17" x14ac:dyDescent="0.25">
      <c r="A1522" s="3" t="s">
        <v>2175</v>
      </c>
      <c r="B1522" s="3">
        <f>6</f>
        <v>6</v>
      </c>
      <c r="C1522" s="1"/>
    </row>
    <row r="1523" spans="1:3" ht="17" x14ac:dyDescent="0.25">
      <c r="A1523" s="3" t="s">
        <v>790</v>
      </c>
      <c r="B1523" s="3">
        <f xml:space="preserve"> wjjp * stcj</f>
        <v>219018</v>
      </c>
      <c r="C1523" s="1"/>
    </row>
    <row r="1524" spans="1:3" ht="17" x14ac:dyDescent="0.25">
      <c r="A1524" s="3" t="s">
        <v>844</v>
      </c>
      <c r="B1524" s="3">
        <f xml:space="preserve"> bqbl + gwjm</f>
        <v>101</v>
      </c>
      <c r="C1524" s="1"/>
    </row>
    <row r="1525" spans="1:3" ht="17" x14ac:dyDescent="0.25">
      <c r="A1525" s="3" t="s">
        <v>1450</v>
      </c>
      <c r="B1525" s="3">
        <f xml:space="preserve"> psvd * gqcv</f>
        <v>2170</v>
      </c>
      <c r="C1525" s="1"/>
    </row>
    <row r="1526" spans="1:3" ht="17" x14ac:dyDescent="0.25">
      <c r="A1526" s="3" t="s">
        <v>2179</v>
      </c>
      <c r="B1526" s="3">
        <f>2</f>
        <v>2</v>
      </c>
      <c r="C1526" s="1"/>
    </row>
    <row r="1527" spans="1:3" ht="17" x14ac:dyDescent="0.25">
      <c r="A1527" s="3" t="s">
        <v>2137</v>
      </c>
      <c r="B1527" s="3">
        <f xml:space="preserve"> rqmw / dbqq</f>
        <v>34086767336662</v>
      </c>
      <c r="C1527" s="1"/>
    </row>
    <row r="1528" spans="1:3" ht="17" x14ac:dyDescent="0.25">
      <c r="A1528" s="3" t="s">
        <v>2180</v>
      </c>
      <c r="B1528" s="3">
        <f>3</f>
        <v>3</v>
      </c>
      <c r="C1528" s="1"/>
    </row>
    <row r="1529" spans="1:3" ht="17" x14ac:dyDescent="0.25">
      <c r="A1529" s="3" t="s">
        <v>112</v>
      </c>
      <c r="B1529" s="3">
        <f>11</f>
        <v>11</v>
      </c>
      <c r="C1529" s="1"/>
    </row>
    <row r="1530" spans="1:3" ht="17" x14ac:dyDescent="0.25">
      <c r="A1530" s="3" t="s">
        <v>1636</v>
      </c>
      <c r="B1530" s="3">
        <f xml:space="preserve"> mchl + bwgh</f>
        <v>133</v>
      </c>
      <c r="C1530" s="1"/>
    </row>
    <row r="1531" spans="1:3" ht="17" x14ac:dyDescent="0.25">
      <c r="A1531" s="3" t="s">
        <v>2182</v>
      </c>
      <c r="B1531" s="3">
        <f xml:space="preserve"> dvcq + hgvw</f>
        <v>67</v>
      </c>
      <c r="C1531" s="1"/>
    </row>
    <row r="1532" spans="1:3" ht="17" x14ac:dyDescent="0.25">
      <c r="A1532" s="3" t="s">
        <v>2184</v>
      </c>
      <c r="B1532" s="3">
        <f>20</f>
        <v>20</v>
      </c>
      <c r="C1532" s="1"/>
    </row>
    <row r="1533" spans="1:3" ht="17" x14ac:dyDescent="0.25">
      <c r="A1533" s="3" t="s">
        <v>2185</v>
      </c>
      <c r="B1533" s="3">
        <f>2</f>
        <v>2</v>
      </c>
      <c r="C1533" s="1"/>
    </row>
    <row r="1534" spans="1:3" ht="17" x14ac:dyDescent="0.25">
      <c r="A1534" s="3" t="s">
        <v>21</v>
      </c>
      <c r="B1534" s="3">
        <f>18</f>
        <v>18</v>
      </c>
      <c r="C1534" s="1"/>
    </row>
    <row r="1535" spans="1:3" ht="17" x14ac:dyDescent="0.25">
      <c r="A1535" s="3" t="s">
        <v>2186</v>
      </c>
      <c r="B1535" s="3">
        <f>2</f>
        <v>2</v>
      </c>
      <c r="C1535" s="1"/>
    </row>
    <row r="1536" spans="1:3" ht="17" x14ac:dyDescent="0.25">
      <c r="A1536" s="3" t="s">
        <v>2187</v>
      </c>
      <c r="B1536" s="3">
        <f>3</f>
        <v>3</v>
      </c>
      <c r="C1536" s="1"/>
    </row>
    <row r="1537" spans="1:3" ht="17" x14ac:dyDescent="0.25">
      <c r="A1537" s="3" t="s">
        <v>2188</v>
      </c>
      <c r="B1537" s="3">
        <f xml:space="preserve"> clls * cszj</f>
        <v>15</v>
      </c>
      <c r="C1537" s="1"/>
    </row>
    <row r="1538" spans="1:3" ht="17" x14ac:dyDescent="0.25">
      <c r="A1538" s="3" t="s">
        <v>278</v>
      </c>
      <c r="B1538" s="3">
        <f>9</f>
        <v>9</v>
      </c>
      <c r="C1538" s="1"/>
    </row>
    <row r="1539" spans="1:3" ht="17" x14ac:dyDescent="0.25">
      <c r="A1539" s="3" t="s">
        <v>485</v>
      </c>
      <c r="B1539" s="3">
        <f xml:space="preserve"> tzwm * mdwn</f>
        <v>2502</v>
      </c>
      <c r="C1539" s="1"/>
    </row>
    <row r="1540" spans="1:3" ht="17" x14ac:dyDescent="0.25">
      <c r="A1540" s="3" t="s">
        <v>1535</v>
      </c>
      <c r="B1540" s="3">
        <f>2</f>
        <v>2</v>
      </c>
      <c r="C1540" s="1"/>
    </row>
    <row r="1541" spans="1:3" ht="17" x14ac:dyDescent="0.25">
      <c r="A1541" s="3" t="s">
        <v>1603</v>
      </c>
      <c r="B1541" s="3">
        <f xml:space="preserve"> hwll + hrnj</f>
        <v>29</v>
      </c>
      <c r="C1541" s="1"/>
    </row>
    <row r="1542" spans="1:3" ht="17" x14ac:dyDescent="0.25">
      <c r="A1542" s="3" t="s">
        <v>2194</v>
      </c>
      <c r="B1542" s="3">
        <f>2</f>
        <v>2</v>
      </c>
      <c r="C1542" s="1"/>
    </row>
    <row r="1543" spans="1:3" ht="17" x14ac:dyDescent="0.25">
      <c r="A1543" s="3" t="s">
        <v>2195</v>
      </c>
      <c r="B1543" s="3">
        <f xml:space="preserve"> bbjq * mqbf</f>
        <v>831</v>
      </c>
      <c r="C1543" s="1"/>
    </row>
    <row r="1544" spans="1:3" ht="17" x14ac:dyDescent="0.25">
      <c r="A1544" s="3" t="s">
        <v>2196</v>
      </c>
      <c r="B1544" s="3">
        <f>3</f>
        <v>3</v>
      </c>
      <c r="C1544" s="1"/>
    </row>
    <row r="1545" spans="1:3" ht="17" x14ac:dyDescent="0.25">
      <c r="A1545" s="3" t="s">
        <v>1366</v>
      </c>
      <c r="B1545" s="3">
        <f xml:space="preserve"> lzlf * tndn</f>
        <v>10</v>
      </c>
      <c r="C1545" s="1"/>
    </row>
    <row r="1546" spans="1:3" ht="17" x14ac:dyDescent="0.25">
      <c r="A1546" s="3" t="s">
        <v>1050</v>
      </c>
      <c r="B1546" s="3">
        <f>13</f>
        <v>13</v>
      </c>
      <c r="C1546" s="1"/>
    </row>
    <row r="1547" spans="1:3" ht="17" x14ac:dyDescent="0.25">
      <c r="A1547" s="3" t="s">
        <v>1131</v>
      </c>
      <c r="B1547" s="3">
        <f xml:space="preserve"> vrjq * rgjt</f>
        <v>15</v>
      </c>
      <c r="C1547" s="1"/>
    </row>
    <row r="1548" spans="1:3" ht="17" x14ac:dyDescent="0.25">
      <c r="A1548" s="3" t="s">
        <v>2079</v>
      </c>
      <c r="B1548" s="3">
        <f>2</f>
        <v>2</v>
      </c>
      <c r="C1548" s="1"/>
    </row>
    <row r="1549" spans="1:3" ht="17" x14ac:dyDescent="0.25">
      <c r="A1549" s="3" t="s">
        <v>329</v>
      </c>
      <c r="B1549" s="3">
        <f xml:space="preserve"> qrhv * ldcc</f>
        <v>22</v>
      </c>
      <c r="C1549" s="1"/>
    </row>
    <row r="1550" spans="1:3" ht="17" x14ac:dyDescent="0.25">
      <c r="A1550" s="3" t="s">
        <v>440</v>
      </c>
      <c r="B1550" s="3">
        <f xml:space="preserve"> lqqq * jccn</f>
        <v>52</v>
      </c>
      <c r="C1550" s="1"/>
    </row>
    <row r="1551" spans="1:3" ht="17" x14ac:dyDescent="0.25">
      <c r="A1551" s="3" t="s">
        <v>2201</v>
      </c>
      <c r="B1551" s="3">
        <f>3</f>
        <v>3</v>
      </c>
      <c r="C1551" s="1"/>
    </row>
    <row r="1552" spans="1:3" ht="17" x14ac:dyDescent="0.25">
      <c r="A1552" s="3" t="s">
        <v>652</v>
      </c>
      <c r="B1552" s="3">
        <f xml:space="preserve"> hrbq * gcln</f>
        <v>505</v>
      </c>
      <c r="C1552" s="1"/>
    </row>
    <row r="1553" spans="1:3" ht="17" x14ac:dyDescent="0.25">
      <c r="A1553" s="3" t="s">
        <v>2203</v>
      </c>
      <c r="B1553" s="3">
        <f xml:space="preserve"> scbt + grgf</f>
        <v>29</v>
      </c>
      <c r="C1553" s="1"/>
    </row>
    <row r="1554" spans="1:3" ht="17" x14ac:dyDescent="0.25">
      <c r="A1554" s="3" t="s">
        <v>1105</v>
      </c>
      <c r="B1554" s="3">
        <f>1</f>
        <v>1</v>
      </c>
      <c r="C1554" s="1"/>
    </row>
    <row r="1555" spans="1:3" ht="17" x14ac:dyDescent="0.25">
      <c r="A1555" s="3" t="s">
        <v>2205</v>
      </c>
      <c r="B1555" s="3">
        <f xml:space="preserve"> frpq * bpnz</f>
        <v>38</v>
      </c>
      <c r="C1555" s="1"/>
    </row>
    <row r="1556" spans="1:3" ht="17" x14ac:dyDescent="0.25">
      <c r="A1556" s="3" t="s">
        <v>1034</v>
      </c>
      <c r="B1556" s="3">
        <f>7</f>
        <v>7</v>
      </c>
      <c r="C1556" s="1"/>
    </row>
    <row r="1557" spans="1:3" ht="17" x14ac:dyDescent="0.25">
      <c r="A1557" s="3" t="s">
        <v>916</v>
      </c>
      <c r="B1557" s="3">
        <f>2</f>
        <v>2</v>
      </c>
      <c r="C1557" s="1"/>
    </row>
    <row r="1558" spans="1:3" ht="17" x14ac:dyDescent="0.25">
      <c r="A1558" s="3" t="s">
        <v>1643</v>
      </c>
      <c r="B1558" s="3">
        <f xml:space="preserve"> vfmv * nwzj</f>
        <v>225</v>
      </c>
      <c r="C1558" s="1"/>
    </row>
    <row r="1559" spans="1:3" ht="17" x14ac:dyDescent="0.25">
      <c r="A1559" s="3" t="s">
        <v>1059</v>
      </c>
      <c r="B1559" s="3">
        <f>6</f>
        <v>6</v>
      </c>
      <c r="C1559" s="1"/>
    </row>
    <row r="1560" spans="1:3" ht="17" x14ac:dyDescent="0.25">
      <c r="A1560" s="3" t="s">
        <v>1038</v>
      </c>
      <c r="B1560" s="3">
        <f>2</f>
        <v>2</v>
      </c>
      <c r="C1560" s="1"/>
    </row>
    <row r="1561" spans="1:3" ht="17" x14ac:dyDescent="0.25">
      <c r="A1561" s="3" t="s">
        <v>2209</v>
      </c>
      <c r="B1561" s="3">
        <f xml:space="preserve"> fhlm * tmhf</f>
        <v>6</v>
      </c>
      <c r="C1561" s="1"/>
    </row>
    <row r="1562" spans="1:3" ht="17" x14ac:dyDescent="0.25">
      <c r="A1562" s="3" t="s">
        <v>315</v>
      </c>
      <c r="B1562" s="3">
        <f xml:space="preserve"> wbwf * wzql</f>
        <v>74</v>
      </c>
      <c r="C1562" s="1"/>
    </row>
    <row r="1563" spans="1:3" ht="17" x14ac:dyDescent="0.25">
      <c r="A1563" s="3" t="s">
        <v>2213</v>
      </c>
      <c r="B1563" s="3">
        <f xml:space="preserve"> zbmp + nrsw</f>
        <v>23</v>
      </c>
      <c r="C1563" s="1"/>
    </row>
    <row r="1564" spans="1:3" ht="17" x14ac:dyDescent="0.25">
      <c r="A1564" s="3" t="s">
        <v>1523</v>
      </c>
      <c r="B1564" s="3">
        <f xml:space="preserve"> dtcf * rdqg</f>
        <v>27</v>
      </c>
      <c r="C1564" s="1"/>
    </row>
    <row r="1565" spans="1:3" ht="17" x14ac:dyDescent="0.25">
      <c r="A1565" s="3" t="s">
        <v>1506</v>
      </c>
      <c r="B1565" s="3">
        <f xml:space="preserve"> njbl - cmwh</f>
        <v>701</v>
      </c>
      <c r="C1565" s="1"/>
    </row>
    <row r="1566" spans="1:3" ht="17" x14ac:dyDescent="0.25">
      <c r="A1566" s="3" t="s">
        <v>2050</v>
      </c>
      <c r="B1566" s="3">
        <f>2</f>
        <v>2</v>
      </c>
      <c r="C1566" s="1"/>
    </row>
    <row r="1567" spans="1:3" ht="17" x14ac:dyDescent="0.25">
      <c r="A1567" s="3" t="s">
        <v>2217</v>
      </c>
      <c r="B1567" s="3">
        <f xml:space="preserve"> zhpr * tdnb</f>
        <v>102</v>
      </c>
      <c r="C1567" s="1"/>
    </row>
    <row r="1568" spans="1:3" ht="17" x14ac:dyDescent="0.25">
      <c r="A1568" s="3" t="s">
        <v>2219</v>
      </c>
      <c r="B1568" s="3">
        <f>7</f>
        <v>7</v>
      </c>
      <c r="C1568" s="1"/>
    </row>
    <row r="1569" spans="1:3" ht="17" x14ac:dyDescent="0.25">
      <c r="A1569" s="3" t="s">
        <v>2220</v>
      </c>
      <c r="B1569" s="3">
        <f xml:space="preserve"> rfmq * rcgh</f>
        <v>8</v>
      </c>
      <c r="C1569" s="1"/>
    </row>
    <row r="1570" spans="1:3" ht="17" x14ac:dyDescent="0.25">
      <c r="A1570" s="3" t="s">
        <v>1552</v>
      </c>
      <c r="B1570" s="3">
        <f>3</f>
        <v>3</v>
      </c>
      <c r="C1570" s="1"/>
    </row>
    <row r="1571" spans="1:3" ht="17" x14ac:dyDescent="0.25">
      <c r="A1571" s="3" t="s">
        <v>2221</v>
      </c>
      <c r="B1571" s="3">
        <f>5</f>
        <v>5</v>
      </c>
      <c r="C1571" s="1"/>
    </row>
    <row r="1572" spans="1:3" ht="17" x14ac:dyDescent="0.25">
      <c r="A1572" s="3" t="s">
        <v>1983</v>
      </c>
      <c r="B1572" s="3">
        <f>13</f>
        <v>13</v>
      </c>
      <c r="C1572" s="1"/>
    </row>
    <row r="1573" spans="1:3" ht="17" x14ac:dyDescent="0.25">
      <c r="A1573" s="3" t="s">
        <v>1572</v>
      </c>
      <c r="B1573" s="3">
        <f>2</f>
        <v>2</v>
      </c>
      <c r="C1573" s="1"/>
    </row>
    <row r="1574" spans="1:3" ht="17" x14ac:dyDescent="0.25">
      <c r="A1574" s="3" t="s">
        <v>1476</v>
      </c>
      <c r="B1574" s="3">
        <f>2</f>
        <v>2</v>
      </c>
      <c r="C1574" s="1"/>
    </row>
    <row r="1575" spans="1:3" ht="17" x14ac:dyDescent="0.25">
      <c r="A1575" s="3" t="s">
        <v>426</v>
      </c>
      <c r="B1575" s="3">
        <f>13</f>
        <v>13</v>
      </c>
      <c r="C1575" s="1"/>
    </row>
    <row r="1576" spans="1:3" ht="17" x14ac:dyDescent="0.25">
      <c r="A1576" s="3" t="s">
        <v>2222</v>
      </c>
      <c r="B1576" s="3">
        <f>3</f>
        <v>3</v>
      </c>
      <c r="C1576" s="1"/>
    </row>
    <row r="1577" spans="1:3" ht="17" x14ac:dyDescent="0.25">
      <c r="A1577" s="3" t="s">
        <v>2223</v>
      </c>
      <c r="B1577" s="3">
        <f>7</f>
        <v>7</v>
      </c>
      <c r="C1577" s="1"/>
    </row>
    <row r="1578" spans="1:3" ht="17" x14ac:dyDescent="0.25">
      <c r="A1578" s="3" t="s">
        <v>1163</v>
      </c>
      <c r="B1578" s="3">
        <f xml:space="preserve"> prms - nrjf</f>
        <v>28</v>
      </c>
      <c r="C1578" s="1"/>
    </row>
    <row r="1579" spans="1:3" ht="17" x14ac:dyDescent="0.25">
      <c r="A1579" s="3" t="s">
        <v>1161</v>
      </c>
      <c r="B1579" s="3">
        <f xml:space="preserve"> tnrd + pdvp</f>
        <v>29</v>
      </c>
      <c r="C1579" s="1"/>
    </row>
    <row r="1580" spans="1:3" ht="17" x14ac:dyDescent="0.25">
      <c r="A1580" s="3" t="s">
        <v>1700</v>
      </c>
      <c r="B1580" s="3">
        <f>3</f>
        <v>3</v>
      </c>
      <c r="C1580" s="1"/>
    </row>
    <row r="1581" spans="1:3" ht="17" x14ac:dyDescent="0.25">
      <c r="A1581" s="3" t="s">
        <v>975</v>
      </c>
      <c r="B1581" s="3">
        <f>10</f>
        <v>10</v>
      </c>
      <c r="C1581" s="1"/>
    </row>
    <row r="1582" spans="1:3" ht="17" x14ac:dyDescent="0.25">
      <c r="A1582" s="3" t="s">
        <v>767</v>
      </c>
      <c r="B1582" s="3">
        <f xml:space="preserve"> gzww / zdsd</f>
        <v>25</v>
      </c>
      <c r="C1582" s="1"/>
    </row>
    <row r="1583" spans="1:3" ht="17" x14ac:dyDescent="0.25">
      <c r="A1583" s="3" t="s">
        <v>2200</v>
      </c>
      <c r="B1583" s="3">
        <f>2</f>
        <v>2</v>
      </c>
      <c r="C1583" s="1"/>
    </row>
    <row r="1584" spans="1:3" ht="17" x14ac:dyDescent="0.25">
      <c r="A1584" s="3" t="s">
        <v>1276</v>
      </c>
      <c r="B1584" s="3">
        <f>3</f>
        <v>3</v>
      </c>
      <c r="C1584" s="1"/>
    </row>
    <row r="1585" spans="1:3" ht="17" x14ac:dyDescent="0.25">
      <c r="A1585" s="3" t="s">
        <v>2228</v>
      </c>
      <c r="B1585" s="3">
        <f xml:space="preserve"> rlrv + fppg</f>
        <v>52</v>
      </c>
      <c r="C1585" s="1"/>
    </row>
    <row r="1586" spans="1:3" ht="17" x14ac:dyDescent="0.25">
      <c r="A1586" s="3" t="s">
        <v>713</v>
      </c>
      <c r="B1586" s="3">
        <f xml:space="preserve"> zvbh / vbqp</f>
        <v>23</v>
      </c>
      <c r="C1586" s="1"/>
    </row>
    <row r="1587" spans="1:3" ht="17" x14ac:dyDescent="0.25">
      <c r="A1587" s="3" t="s">
        <v>2231</v>
      </c>
      <c r="B1587" s="3">
        <f>12</f>
        <v>12</v>
      </c>
      <c r="C1587" s="1"/>
    </row>
    <row r="1588" spans="1:3" ht="17" x14ac:dyDescent="0.25">
      <c r="A1588" s="3" t="s">
        <v>150</v>
      </c>
      <c r="B1588" s="3">
        <f xml:space="preserve"> qgrd + hpdn</f>
        <v>29</v>
      </c>
      <c r="C1588" s="1"/>
    </row>
    <row r="1589" spans="1:3" ht="17" x14ac:dyDescent="0.25">
      <c r="A1589" s="3" t="s">
        <v>2232</v>
      </c>
      <c r="B1589" s="3">
        <f xml:space="preserve"> zplw + mmdc</f>
        <v>253</v>
      </c>
      <c r="C1589" s="1"/>
    </row>
    <row r="1590" spans="1:3" ht="17" x14ac:dyDescent="0.25">
      <c r="A1590" s="3" t="s">
        <v>1748</v>
      </c>
      <c r="B1590" s="3">
        <f>2</f>
        <v>2</v>
      </c>
      <c r="C1590" s="1"/>
    </row>
    <row r="1591" spans="1:3" ht="17" x14ac:dyDescent="0.25">
      <c r="A1591" s="3" t="s">
        <v>968</v>
      </c>
      <c r="B1591" s="3">
        <f xml:space="preserve"> wtjz + lltc</f>
        <v>17</v>
      </c>
      <c r="C1591" s="1"/>
    </row>
    <row r="1592" spans="1:3" ht="17" x14ac:dyDescent="0.25">
      <c r="A1592" s="3" t="s">
        <v>2233</v>
      </c>
      <c r="B1592" s="3">
        <f xml:space="preserve"> tbmd + tqql</f>
        <v>30</v>
      </c>
      <c r="C1592" s="1"/>
    </row>
    <row r="1593" spans="1:3" ht="17" x14ac:dyDescent="0.25">
      <c r="A1593" s="3" t="s">
        <v>875</v>
      </c>
      <c r="B1593" s="3">
        <f xml:space="preserve"> cpzl * cvgp</f>
        <v>1298</v>
      </c>
      <c r="C1593" s="1"/>
    </row>
    <row r="1594" spans="1:3" ht="17" x14ac:dyDescent="0.25">
      <c r="A1594" s="3" t="s">
        <v>1806</v>
      </c>
      <c r="B1594" s="3">
        <f xml:space="preserve"> mbtj * rfcv</f>
        <v>1224</v>
      </c>
      <c r="C1594" s="1"/>
    </row>
    <row r="1595" spans="1:3" ht="17" x14ac:dyDescent="0.25">
      <c r="A1595" s="3" t="s">
        <v>942</v>
      </c>
      <c r="B1595" s="3">
        <f>4</f>
        <v>4</v>
      </c>
      <c r="C1595" s="1"/>
    </row>
    <row r="1596" spans="1:3" ht="17" x14ac:dyDescent="0.25">
      <c r="A1596" s="3" t="s">
        <v>1080</v>
      </c>
      <c r="B1596" s="3">
        <f>2</f>
        <v>2</v>
      </c>
      <c r="C1596" s="1"/>
    </row>
    <row r="1597" spans="1:3" ht="17" x14ac:dyDescent="0.25">
      <c r="A1597" s="3" t="s">
        <v>1337</v>
      </c>
      <c r="B1597" s="3">
        <f xml:space="preserve"> tfwm * zqdb</f>
        <v>10</v>
      </c>
      <c r="C1597" s="1"/>
    </row>
    <row r="1598" spans="1:3" ht="17" x14ac:dyDescent="0.25">
      <c r="A1598" s="3" t="s">
        <v>2238</v>
      </c>
      <c r="B1598" s="3">
        <f xml:space="preserve"> hlsn + zgjb</f>
        <v>127</v>
      </c>
      <c r="C1598" s="1"/>
    </row>
    <row r="1599" spans="1:3" ht="17" x14ac:dyDescent="0.25">
      <c r="A1599" s="3" t="s">
        <v>1263</v>
      </c>
      <c r="B1599" s="3">
        <f>2</f>
        <v>2</v>
      </c>
      <c r="C1599" s="1"/>
    </row>
    <row r="1600" spans="1:3" ht="17" x14ac:dyDescent="0.25">
      <c r="A1600" s="3" t="s">
        <v>2240</v>
      </c>
      <c r="B1600" s="3">
        <f xml:space="preserve"> zqtd * jfqj</f>
        <v>27</v>
      </c>
      <c r="C1600" s="1"/>
    </row>
    <row r="1601" spans="1:3" ht="17" x14ac:dyDescent="0.25">
      <c r="A1601" s="3" t="s">
        <v>1602</v>
      </c>
      <c r="B1601" s="3">
        <f xml:space="preserve"> pmdd + cnlm</f>
        <v>134</v>
      </c>
      <c r="C1601" s="1"/>
    </row>
    <row r="1602" spans="1:3" ht="17" x14ac:dyDescent="0.25">
      <c r="A1602" s="3" t="s">
        <v>2243</v>
      </c>
      <c r="B1602" s="3">
        <f>2</f>
        <v>2</v>
      </c>
      <c r="C1602" s="1"/>
    </row>
    <row r="1603" spans="1:3" ht="17" x14ac:dyDescent="0.25">
      <c r="A1603" s="3" t="s">
        <v>1791</v>
      </c>
      <c r="B1603" s="3">
        <f xml:space="preserve"> fzrq * hmfr</f>
        <v>27</v>
      </c>
      <c r="C1603" s="1"/>
    </row>
    <row r="1604" spans="1:3" ht="17" x14ac:dyDescent="0.25">
      <c r="A1604" s="3" t="s">
        <v>81</v>
      </c>
      <c r="B1604" s="3">
        <f xml:space="preserve"> dgfj * frdq</f>
        <v>8</v>
      </c>
      <c r="C1604" s="1"/>
    </row>
    <row r="1605" spans="1:3" ht="17" x14ac:dyDescent="0.25">
      <c r="A1605" s="3" t="s">
        <v>2247</v>
      </c>
      <c r="B1605" s="3">
        <f xml:space="preserve"> tznf + hvsg</f>
        <v>292</v>
      </c>
      <c r="C1605" s="1"/>
    </row>
    <row r="1606" spans="1:3" ht="17" x14ac:dyDescent="0.25">
      <c r="A1606" s="3" t="s">
        <v>2248</v>
      </c>
      <c r="B1606" s="3">
        <f xml:space="preserve"> dnvd * fbns</f>
        <v>27</v>
      </c>
      <c r="C1606" s="1"/>
    </row>
    <row r="1607" spans="1:3" ht="17" x14ac:dyDescent="0.25">
      <c r="A1607" s="3" t="s">
        <v>1652</v>
      </c>
      <c r="B1607" s="3">
        <f>15</f>
        <v>15</v>
      </c>
      <c r="C1607" s="1"/>
    </row>
    <row r="1608" spans="1:3" ht="17" x14ac:dyDescent="0.25">
      <c r="A1608" s="3" t="s">
        <v>1093</v>
      </c>
      <c r="B1608" s="3">
        <f>7</f>
        <v>7</v>
      </c>
      <c r="C1608" s="1"/>
    </row>
    <row r="1609" spans="1:3" ht="17" x14ac:dyDescent="0.25">
      <c r="A1609" s="3" t="s">
        <v>2250</v>
      </c>
      <c r="B1609" s="3">
        <f>2</f>
        <v>2</v>
      </c>
      <c r="C1609" s="1"/>
    </row>
    <row r="1610" spans="1:3" ht="17" x14ac:dyDescent="0.25">
      <c r="A1610" s="3" t="s">
        <v>2251</v>
      </c>
      <c r="B1610" s="3">
        <f xml:space="preserve"> nrnq + blmj</f>
        <v>30</v>
      </c>
      <c r="C1610" s="1"/>
    </row>
    <row r="1611" spans="1:3" ht="17" x14ac:dyDescent="0.25">
      <c r="A1611" s="3" t="s">
        <v>2252</v>
      </c>
      <c r="B1611" s="3">
        <f>5</f>
        <v>5</v>
      </c>
      <c r="C1611" s="1"/>
    </row>
    <row r="1612" spans="1:3" ht="17" x14ac:dyDescent="0.25">
      <c r="A1612" s="3" t="s">
        <v>2027</v>
      </c>
      <c r="B1612" s="3">
        <f>4</f>
        <v>4</v>
      </c>
      <c r="C1612" s="1"/>
    </row>
    <row r="1613" spans="1:3" ht="17" x14ac:dyDescent="0.25">
      <c r="A1613" s="3" t="s">
        <v>1770</v>
      </c>
      <c r="B1613" s="3">
        <f>3</f>
        <v>3</v>
      </c>
      <c r="C1613" s="1"/>
    </row>
    <row r="1614" spans="1:3" ht="17" x14ac:dyDescent="0.25">
      <c r="A1614" s="3" t="s">
        <v>2253</v>
      </c>
      <c r="B1614" s="3">
        <f xml:space="preserve"> jbwl * pvqn</f>
        <v>39</v>
      </c>
      <c r="C1614" s="1"/>
    </row>
    <row r="1615" spans="1:3" ht="17" x14ac:dyDescent="0.25">
      <c r="A1615" s="3" t="s">
        <v>2254</v>
      </c>
      <c r="B1615" s="3">
        <f>5</f>
        <v>5</v>
      </c>
      <c r="C1615" s="1"/>
    </row>
    <row r="1616" spans="1:3" ht="17" x14ac:dyDescent="0.25">
      <c r="A1616" s="3" t="s">
        <v>658</v>
      </c>
      <c r="B1616" s="3">
        <f>3</f>
        <v>3</v>
      </c>
      <c r="C1616" s="1"/>
    </row>
    <row r="1617" spans="1:3" ht="17" x14ac:dyDescent="0.25">
      <c r="A1617" s="3" t="s">
        <v>768</v>
      </c>
      <c r="B1617" s="3">
        <f>8</f>
        <v>8</v>
      </c>
      <c r="C1617" s="1"/>
    </row>
    <row r="1618" spans="1:3" ht="17" x14ac:dyDescent="0.25">
      <c r="A1618" s="3" t="s">
        <v>2255</v>
      </c>
      <c r="B1618" s="3">
        <f>2</f>
        <v>2</v>
      </c>
      <c r="C1618" s="1"/>
    </row>
    <row r="1619" spans="1:3" ht="17" x14ac:dyDescent="0.25">
      <c r="A1619" s="3" t="s">
        <v>2256</v>
      </c>
      <c r="B1619" s="3">
        <f>3</f>
        <v>3</v>
      </c>
      <c r="C1619" s="1"/>
    </row>
    <row r="1620" spans="1:3" ht="17" x14ac:dyDescent="0.25">
      <c r="A1620" s="3" t="s">
        <v>2257</v>
      </c>
      <c r="B1620" s="3">
        <f xml:space="preserve"> sctg + cgml</f>
        <v>11</v>
      </c>
      <c r="C1620" s="1"/>
    </row>
    <row r="1621" spans="1:3" ht="17" x14ac:dyDescent="0.25">
      <c r="A1621" s="3" t="s">
        <v>1952</v>
      </c>
      <c r="B1621" s="3">
        <f>5</f>
        <v>5</v>
      </c>
      <c r="C1621" s="1"/>
    </row>
    <row r="1622" spans="1:3" ht="17" x14ac:dyDescent="0.25">
      <c r="A1622" s="3" t="s">
        <v>779</v>
      </c>
      <c r="B1622" s="3">
        <f xml:space="preserve"> vhns * zqqs</f>
        <v>102260302008256</v>
      </c>
      <c r="C1622" s="1"/>
    </row>
    <row r="1623" spans="1:3" ht="17" x14ac:dyDescent="0.25">
      <c r="A1623" s="3" t="s">
        <v>863</v>
      </c>
      <c r="B1623" s="3">
        <f>4</f>
        <v>4</v>
      </c>
      <c r="C1623" s="1"/>
    </row>
    <row r="1624" spans="1:3" ht="17" x14ac:dyDescent="0.25">
      <c r="A1624" s="3" t="s">
        <v>1104</v>
      </c>
      <c r="B1624" s="3">
        <f>6</f>
        <v>6</v>
      </c>
      <c r="C1624" s="1"/>
    </row>
    <row r="1625" spans="1:3" ht="17" x14ac:dyDescent="0.25">
      <c r="A1625" s="3" t="s">
        <v>1155</v>
      </c>
      <c r="B1625" s="3">
        <f>8</f>
        <v>8</v>
      </c>
      <c r="C1625" s="1"/>
    </row>
    <row r="1626" spans="1:3" ht="17" x14ac:dyDescent="0.25">
      <c r="A1626" s="3" t="s">
        <v>1416</v>
      </c>
      <c r="B1626" s="3">
        <f>3</f>
        <v>3</v>
      </c>
      <c r="C1626" s="1"/>
    </row>
    <row r="1627" spans="1:3" ht="17" x14ac:dyDescent="0.25">
      <c r="A1627" s="3" t="s">
        <v>2160</v>
      </c>
      <c r="B1627" s="3">
        <f xml:space="preserve"> fbhm * psdb</f>
        <v>506</v>
      </c>
      <c r="C1627" s="1"/>
    </row>
    <row r="1628" spans="1:3" ht="17" x14ac:dyDescent="0.25">
      <c r="A1628" s="3" t="s">
        <v>130</v>
      </c>
      <c r="B1628" s="3">
        <f xml:space="preserve"> jzps + wrlp</f>
        <v>45</v>
      </c>
      <c r="C1628" s="1"/>
    </row>
    <row r="1629" spans="1:3" ht="17" x14ac:dyDescent="0.25">
      <c r="A1629" s="3" t="s">
        <v>1788</v>
      </c>
      <c r="B1629" s="3">
        <f>1</f>
        <v>1</v>
      </c>
      <c r="C1629" s="1"/>
    </row>
    <row r="1630" spans="1:3" ht="17" x14ac:dyDescent="0.25">
      <c r="A1630" s="3" t="s">
        <v>1802</v>
      </c>
      <c r="B1630" s="3">
        <f xml:space="preserve"> qhjq * bnzz</f>
        <v>493</v>
      </c>
      <c r="C1630" s="1"/>
    </row>
    <row r="1631" spans="1:3" ht="17" x14ac:dyDescent="0.25">
      <c r="A1631" s="3" t="s">
        <v>1027</v>
      </c>
      <c r="B1631" s="3">
        <f xml:space="preserve"> sgcv + pcbt</f>
        <v>36</v>
      </c>
      <c r="C1631" s="1"/>
    </row>
    <row r="1632" spans="1:3" ht="17" x14ac:dyDescent="0.25">
      <c r="A1632" s="3" t="s">
        <v>780</v>
      </c>
      <c r="B1632" s="3">
        <f xml:space="preserve"> dtnc * jhdf</f>
        <v>249</v>
      </c>
      <c r="C1632" s="1"/>
    </row>
    <row r="1633" spans="1:3" ht="17" x14ac:dyDescent="0.25">
      <c r="A1633" s="3" t="s">
        <v>533</v>
      </c>
      <c r="B1633" s="3">
        <f>4</f>
        <v>4</v>
      </c>
      <c r="C1633" s="1"/>
    </row>
    <row r="1634" spans="1:3" ht="17" x14ac:dyDescent="0.25">
      <c r="A1634" s="3" t="s">
        <v>2262</v>
      </c>
      <c r="B1634" s="3">
        <f>5</f>
        <v>5</v>
      </c>
      <c r="C1634" s="1"/>
    </row>
    <row r="1635" spans="1:3" ht="17" x14ac:dyDescent="0.25">
      <c r="A1635" s="3" t="s">
        <v>2263</v>
      </c>
      <c r="B1635" s="3">
        <f>4</f>
        <v>4</v>
      </c>
      <c r="C1635" s="1"/>
    </row>
    <row r="1636" spans="1:3" ht="17" x14ac:dyDescent="0.25">
      <c r="A1636" s="3" t="s">
        <v>2264</v>
      </c>
      <c r="B1636" s="3">
        <f>2</f>
        <v>2</v>
      </c>
      <c r="C1636" s="1"/>
    </row>
    <row r="1637" spans="1:3" ht="17" x14ac:dyDescent="0.25">
      <c r="A1637" s="3" t="s">
        <v>980</v>
      </c>
      <c r="B1637" s="3">
        <f>5</f>
        <v>5</v>
      </c>
      <c r="C1637" s="1"/>
    </row>
    <row r="1638" spans="1:3" ht="17" x14ac:dyDescent="0.25">
      <c r="A1638" s="3" t="s">
        <v>2057</v>
      </c>
      <c r="B1638" s="3">
        <f>2</f>
        <v>2</v>
      </c>
      <c r="C1638" s="1"/>
    </row>
    <row r="1639" spans="1:3" ht="17" x14ac:dyDescent="0.25">
      <c r="A1639" s="3" t="s">
        <v>749</v>
      </c>
      <c r="B1639" s="3">
        <f xml:space="preserve"> mvvt + fccn</f>
        <v>13</v>
      </c>
      <c r="C1639" s="1"/>
    </row>
    <row r="1640" spans="1:3" ht="17" x14ac:dyDescent="0.25">
      <c r="A1640" s="3" t="s">
        <v>1157</v>
      </c>
      <c r="B1640" s="3">
        <f>3</f>
        <v>3</v>
      </c>
      <c r="C1640" s="1"/>
    </row>
    <row r="1641" spans="1:3" ht="17" x14ac:dyDescent="0.25">
      <c r="A1641" s="3" t="s">
        <v>2265</v>
      </c>
      <c r="B1641" s="3">
        <f>2</f>
        <v>2</v>
      </c>
      <c r="C1641" s="1"/>
    </row>
    <row r="1642" spans="1:3" ht="17" x14ac:dyDescent="0.25">
      <c r="A1642" s="3" t="s">
        <v>36</v>
      </c>
      <c r="B1642" s="3">
        <f>2</f>
        <v>2</v>
      </c>
      <c r="C1642" s="1"/>
    </row>
    <row r="1643" spans="1:3" ht="17" x14ac:dyDescent="0.25">
      <c r="A1643" s="3" t="s">
        <v>2266</v>
      </c>
      <c r="B1643" s="3">
        <f>2</f>
        <v>2</v>
      </c>
      <c r="C1643" s="1"/>
    </row>
    <row r="1644" spans="1:3" ht="17" x14ac:dyDescent="0.25">
      <c r="A1644" s="3" t="s">
        <v>128</v>
      </c>
      <c r="B1644" s="3">
        <f>3</f>
        <v>3</v>
      </c>
      <c r="C1644" s="1"/>
    </row>
    <row r="1645" spans="1:3" ht="17" x14ac:dyDescent="0.25">
      <c r="A1645" s="3" t="s">
        <v>2190</v>
      </c>
      <c r="B1645" s="3">
        <f>18</f>
        <v>18</v>
      </c>
      <c r="C1645" s="1"/>
    </row>
    <row r="1646" spans="1:3" ht="17" x14ac:dyDescent="0.25">
      <c r="A1646" s="3" t="s">
        <v>100</v>
      </c>
      <c r="B1646" s="3">
        <f>5</f>
        <v>5</v>
      </c>
      <c r="C1646" s="1"/>
    </row>
    <row r="1647" spans="1:3" ht="17" x14ac:dyDescent="0.25">
      <c r="A1647" s="3" t="s">
        <v>2267</v>
      </c>
      <c r="B1647" s="3">
        <f>1</f>
        <v>1</v>
      </c>
      <c r="C1647" s="1"/>
    </row>
    <row r="1648" spans="1:3" ht="17" x14ac:dyDescent="0.25">
      <c r="A1648" s="3" t="s">
        <v>1082</v>
      </c>
      <c r="B1648" s="3">
        <f xml:space="preserve"> rpln * cmsd</f>
        <v>24</v>
      </c>
      <c r="C1648" s="1"/>
    </row>
    <row r="1649" spans="1:3" ht="17" x14ac:dyDescent="0.25">
      <c r="A1649" s="3" t="s">
        <v>2269</v>
      </c>
      <c r="B1649" s="3">
        <f>4</f>
        <v>4</v>
      </c>
      <c r="C1649" s="1"/>
    </row>
    <row r="1650" spans="1:3" ht="17" x14ac:dyDescent="0.25">
      <c r="A1650" s="3" t="s">
        <v>2270</v>
      </c>
      <c r="B1650" s="3">
        <f xml:space="preserve"> qwjc + vnvw</f>
        <v>13</v>
      </c>
      <c r="C1650" s="1"/>
    </row>
    <row r="1651" spans="1:3" ht="17" x14ac:dyDescent="0.25">
      <c r="A1651" s="3" t="s">
        <v>2272</v>
      </c>
      <c r="B1651" s="3">
        <f xml:space="preserve"> jwnj + bdlp</f>
        <v>19</v>
      </c>
      <c r="C1651" s="1"/>
    </row>
    <row r="1652" spans="1:3" ht="17" x14ac:dyDescent="0.25">
      <c r="A1652" s="3" t="s">
        <v>62</v>
      </c>
      <c r="B1652" s="3">
        <f>5</f>
        <v>5</v>
      </c>
      <c r="C1652" s="1"/>
    </row>
    <row r="1653" spans="1:3" ht="17" x14ac:dyDescent="0.25">
      <c r="A1653" s="3" t="s">
        <v>2273</v>
      </c>
      <c r="B1653" s="3">
        <f xml:space="preserve"> qdgc + mlrb</f>
        <v>538</v>
      </c>
      <c r="C1653" s="1"/>
    </row>
    <row r="1654" spans="1:3" ht="17" x14ac:dyDescent="0.25">
      <c r="A1654" s="3" t="s">
        <v>527</v>
      </c>
      <c r="B1654" s="3">
        <f>9</f>
        <v>9</v>
      </c>
      <c r="C1654" s="1"/>
    </row>
    <row r="1655" spans="1:3" ht="17" x14ac:dyDescent="0.25">
      <c r="A1655" s="3" t="s">
        <v>2274</v>
      </c>
      <c r="B1655" s="3">
        <f>3</f>
        <v>3</v>
      </c>
      <c r="C1655" s="1"/>
    </row>
    <row r="1656" spans="1:3" ht="17" x14ac:dyDescent="0.25">
      <c r="A1656" s="3" t="s">
        <v>2275</v>
      </c>
      <c r="B1656" s="3">
        <f>12</f>
        <v>12</v>
      </c>
      <c r="C1656" s="1"/>
    </row>
    <row r="1657" spans="1:3" ht="17" x14ac:dyDescent="0.25">
      <c r="A1657" s="3" t="s">
        <v>2276</v>
      </c>
      <c r="B1657" s="3">
        <f>7</f>
        <v>7</v>
      </c>
      <c r="C1657" s="1"/>
    </row>
    <row r="1658" spans="1:3" ht="17" x14ac:dyDescent="0.25">
      <c r="A1658" s="3" t="s">
        <v>2259</v>
      </c>
      <c r="B1658" s="3">
        <f xml:space="preserve"> wdqw + hpdl</f>
        <v>23</v>
      </c>
      <c r="C1658" s="1"/>
    </row>
    <row r="1659" spans="1:3" ht="17" x14ac:dyDescent="0.25">
      <c r="A1659" s="3" t="s">
        <v>1740</v>
      </c>
      <c r="B1659" s="3">
        <f xml:space="preserve"> pdhl + qpth</f>
        <v>19</v>
      </c>
      <c r="C1659" s="1"/>
    </row>
    <row r="1660" spans="1:3" ht="17" x14ac:dyDescent="0.25">
      <c r="A1660" s="3" t="s">
        <v>888</v>
      </c>
      <c r="B1660" s="3">
        <f xml:space="preserve"> bpfl + ztqf</f>
        <v>226</v>
      </c>
      <c r="C1660" s="1"/>
    </row>
    <row r="1661" spans="1:3" ht="17" x14ac:dyDescent="0.25">
      <c r="A1661" s="3" t="s">
        <v>1914</v>
      </c>
      <c r="B1661" s="3">
        <f>13</f>
        <v>13</v>
      </c>
      <c r="C1661" s="1"/>
    </row>
    <row r="1662" spans="1:3" ht="17" x14ac:dyDescent="0.25">
      <c r="A1662" s="3" t="s">
        <v>2278</v>
      </c>
      <c r="B1662" s="3">
        <f xml:space="preserve"> rdqs * gzhz</f>
        <v>9</v>
      </c>
      <c r="C1662" s="1"/>
    </row>
    <row r="1663" spans="1:3" ht="17" x14ac:dyDescent="0.25">
      <c r="A1663" s="3" t="s">
        <v>2280</v>
      </c>
      <c r="B1663" s="3">
        <f>4</f>
        <v>4</v>
      </c>
      <c r="C1663" s="1"/>
    </row>
    <row r="1664" spans="1:3" ht="17" x14ac:dyDescent="0.25">
      <c r="A1664" s="3" t="s">
        <v>2125</v>
      </c>
      <c r="B1664" s="3">
        <f>4</f>
        <v>4</v>
      </c>
      <c r="C1664" s="1"/>
    </row>
    <row r="1665" spans="1:3" ht="17" x14ac:dyDescent="0.25">
      <c r="A1665" s="3" t="s">
        <v>1736</v>
      </c>
      <c r="B1665" s="3">
        <f xml:space="preserve"> ntqn * wvlr</f>
        <v>77</v>
      </c>
      <c r="C1665" s="1"/>
    </row>
    <row r="1666" spans="1:3" ht="17" x14ac:dyDescent="0.25">
      <c r="A1666" s="3" t="s">
        <v>454</v>
      </c>
      <c r="B1666" s="3">
        <f>2</f>
        <v>2</v>
      </c>
      <c r="C1666" s="1"/>
    </row>
    <row r="1667" spans="1:3" ht="17" x14ac:dyDescent="0.25">
      <c r="A1667" s="3" t="s">
        <v>2281</v>
      </c>
      <c r="B1667" s="3">
        <f>2</f>
        <v>2</v>
      </c>
      <c r="C1667" s="1"/>
    </row>
    <row r="1668" spans="1:3" ht="17" x14ac:dyDescent="0.25">
      <c r="A1668" s="3" t="s">
        <v>1982</v>
      </c>
      <c r="B1668" s="3">
        <f xml:space="preserve"> bfrh + ccdl</f>
        <v>23</v>
      </c>
      <c r="C1668" s="1"/>
    </row>
    <row r="1669" spans="1:3" ht="17" x14ac:dyDescent="0.25">
      <c r="A1669" s="3" t="s">
        <v>1303</v>
      </c>
      <c r="B1669" s="3">
        <f>19</f>
        <v>19</v>
      </c>
      <c r="C1669" s="1"/>
    </row>
    <row r="1670" spans="1:3" ht="17" x14ac:dyDescent="0.25">
      <c r="A1670" s="3" t="s">
        <v>2224</v>
      </c>
      <c r="B1670" s="3">
        <f xml:space="preserve"> hcpl / hqlq</f>
        <v>32</v>
      </c>
      <c r="C1670" s="1"/>
    </row>
    <row r="1671" spans="1:3" ht="17" x14ac:dyDescent="0.25">
      <c r="A1671" s="3" t="s">
        <v>1501</v>
      </c>
      <c r="B1671" s="3">
        <f xml:space="preserve"> wwnj * mcmn</f>
        <v>68</v>
      </c>
      <c r="C1671" s="1"/>
    </row>
    <row r="1672" spans="1:3" ht="17" x14ac:dyDescent="0.25">
      <c r="A1672" s="3" t="s">
        <v>230</v>
      </c>
      <c r="B1672" s="3">
        <f>2</f>
        <v>2</v>
      </c>
      <c r="C1672" s="1"/>
    </row>
    <row r="1673" spans="1:3" ht="17" x14ac:dyDescent="0.25">
      <c r="A1673" s="3" t="s">
        <v>1595</v>
      </c>
      <c r="B1673" s="3">
        <f xml:space="preserve"> wjfj * wffm</f>
        <v>12</v>
      </c>
      <c r="C1673" s="1"/>
    </row>
    <row r="1674" spans="1:3" ht="17" x14ac:dyDescent="0.25">
      <c r="A1674" s="3" t="s">
        <v>2286</v>
      </c>
      <c r="B1674" s="3">
        <f xml:space="preserve"> blgc - psfm</f>
        <v>3744</v>
      </c>
      <c r="C1674" s="1"/>
    </row>
    <row r="1675" spans="1:3" ht="17" x14ac:dyDescent="0.25">
      <c r="A1675" s="3" t="s">
        <v>2289</v>
      </c>
      <c r="B1675" s="3">
        <f>2</f>
        <v>2</v>
      </c>
      <c r="C1675" s="1"/>
    </row>
    <row r="1676" spans="1:3" ht="17" x14ac:dyDescent="0.25">
      <c r="A1676" s="3" t="s">
        <v>1656</v>
      </c>
      <c r="B1676" s="3">
        <f xml:space="preserve"> vtch + wppb</f>
        <v>4224</v>
      </c>
      <c r="C1676" s="1"/>
    </row>
    <row r="1677" spans="1:3" ht="17" x14ac:dyDescent="0.25">
      <c r="A1677" s="3" t="s">
        <v>2291</v>
      </c>
      <c r="B1677" s="3">
        <f>14</f>
        <v>14</v>
      </c>
      <c r="C1677" s="1"/>
    </row>
    <row r="1678" spans="1:3" ht="17" x14ac:dyDescent="0.25">
      <c r="A1678" s="3" t="s">
        <v>2029</v>
      </c>
      <c r="B1678" s="3">
        <f xml:space="preserve"> llzl / mmcc</f>
        <v>43</v>
      </c>
      <c r="C1678" s="1"/>
    </row>
    <row r="1679" spans="1:3" ht="17" x14ac:dyDescent="0.25">
      <c r="A1679" s="3" t="s">
        <v>2293</v>
      </c>
      <c r="B1679" s="3">
        <f>2</f>
        <v>2</v>
      </c>
      <c r="C1679" s="1"/>
    </row>
    <row r="1680" spans="1:3" ht="17" x14ac:dyDescent="0.25">
      <c r="A1680" s="3" t="s">
        <v>2294</v>
      </c>
      <c r="B1680" s="3">
        <f xml:space="preserve"> zvsp - gfcd</f>
        <v>41</v>
      </c>
      <c r="C1680" s="1"/>
    </row>
    <row r="1681" spans="1:3" ht="17" x14ac:dyDescent="0.25">
      <c r="A1681" s="3" t="s">
        <v>2031</v>
      </c>
      <c r="B1681" s="3">
        <f xml:space="preserve"> znrp + whth</f>
        <v>23</v>
      </c>
      <c r="C1681" s="1"/>
    </row>
    <row r="1682" spans="1:3" ht="17" x14ac:dyDescent="0.25">
      <c r="A1682" s="3" t="s">
        <v>716</v>
      </c>
      <c r="B1682" s="3">
        <f xml:space="preserve"> pfzs / rwqr</f>
        <v>5681127888570</v>
      </c>
      <c r="C1682" s="1"/>
    </row>
    <row r="1683" spans="1:3" ht="17" x14ac:dyDescent="0.25">
      <c r="A1683" s="3" t="s">
        <v>2297</v>
      </c>
      <c r="B1683" s="3">
        <f xml:space="preserve"> sjfb / dnbq</f>
        <v>38</v>
      </c>
      <c r="C1683" s="1"/>
    </row>
    <row r="1684" spans="1:3" ht="17" x14ac:dyDescent="0.25">
      <c r="A1684" s="3" t="s">
        <v>2299</v>
      </c>
      <c r="B1684" s="3">
        <f>2</f>
        <v>2</v>
      </c>
      <c r="C1684" s="1"/>
    </row>
    <row r="1685" spans="1:3" ht="17" x14ac:dyDescent="0.25">
      <c r="A1685" s="3" t="s">
        <v>2300</v>
      </c>
      <c r="B1685" s="3">
        <f xml:space="preserve"> vdcd * cncc</f>
        <v>80</v>
      </c>
      <c r="C1685" s="1"/>
    </row>
    <row r="1686" spans="1:3" ht="17" x14ac:dyDescent="0.25">
      <c r="A1686" s="3" t="s">
        <v>1402</v>
      </c>
      <c r="B1686" s="3">
        <f>12</f>
        <v>12</v>
      </c>
      <c r="C1686" s="1"/>
    </row>
    <row r="1687" spans="1:3" ht="17" x14ac:dyDescent="0.25">
      <c r="A1687" s="3" t="s">
        <v>1141</v>
      </c>
      <c r="B1687" s="3">
        <f xml:space="preserve"> dnlc * gljf</f>
        <v>30</v>
      </c>
      <c r="C1687" s="1"/>
    </row>
    <row r="1688" spans="1:3" ht="17" x14ac:dyDescent="0.25">
      <c r="A1688" s="3" t="s">
        <v>2302</v>
      </c>
      <c r="B1688" s="3">
        <f xml:space="preserve"> fhqr / hrgg</f>
        <v>8</v>
      </c>
      <c r="C1688" s="1"/>
    </row>
    <row r="1689" spans="1:3" ht="17" x14ac:dyDescent="0.25">
      <c r="A1689" s="3" t="s">
        <v>2303</v>
      </c>
      <c r="B1689" s="3">
        <f>10</f>
        <v>10</v>
      </c>
      <c r="C1689" s="1"/>
    </row>
    <row r="1690" spans="1:3" ht="17" x14ac:dyDescent="0.25">
      <c r="A1690" s="3" t="s">
        <v>2304</v>
      </c>
      <c r="B1690" s="3">
        <f>3</f>
        <v>3</v>
      </c>
      <c r="C1690" s="1"/>
    </row>
    <row r="1691" spans="1:3" ht="17" x14ac:dyDescent="0.25">
      <c r="A1691" s="3" t="s">
        <v>2305</v>
      </c>
      <c r="B1691" s="3">
        <f>4</f>
        <v>4</v>
      </c>
      <c r="C1691" s="1"/>
    </row>
    <row r="1692" spans="1:3" ht="17" x14ac:dyDescent="0.25">
      <c r="A1692" s="3" t="s">
        <v>2306</v>
      </c>
      <c r="B1692" s="3">
        <f>2</f>
        <v>2</v>
      </c>
      <c r="C1692" s="1"/>
    </row>
    <row r="1693" spans="1:3" ht="17" x14ac:dyDescent="0.25">
      <c r="A1693" s="3" t="s">
        <v>1483</v>
      </c>
      <c r="B1693" s="3">
        <f>9</f>
        <v>9</v>
      </c>
      <c r="C1693" s="1"/>
    </row>
    <row r="1694" spans="1:3" ht="17" x14ac:dyDescent="0.25">
      <c r="A1694" s="3" t="s">
        <v>1519</v>
      </c>
      <c r="B1694" s="3">
        <f xml:space="preserve"> qshd * djbg</f>
        <v>26</v>
      </c>
      <c r="C1694" s="1"/>
    </row>
    <row r="1695" spans="1:3" ht="17" x14ac:dyDescent="0.25">
      <c r="A1695" s="3" t="s">
        <v>2308</v>
      </c>
      <c r="B1695" s="3">
        <f>3</f>
        <v>3</v>
      </c>
      <c r="C1695" s="1"/>
    </row>
    <row r="1696" spans="1:3" ht="17" x14ac:dyDescent="0.25">
      <c r="A1696" s="3" t="s">
        <v>1349</v>
      </c>
      <c r="B1696" s="3">
        <f>5</f>
        <v>5</v>
      </c>
      <c r="C1696" s="1"/>
    </row>
    <row r="1697" spans="1:3" ht="17" x14ac:dyDescent="0.25">
      <c r="A1697" s="3" t="s">
        <v>2309</v>
      </c>
      <c r="B1697" s="3">
        <f>11</f>
        <v>11</v>
      </c>
      <c r="C1697" s="1"/>
    </row>
    <row r="1698" spans="1:3" ht="17" x14ac:dyDescent="0.25">
      <c r="A1698" s="3" t="s">
        <v>1617</v>
      </c>
      <c r="B1698" s="3">
        <f xml:space="preserve"> mffn + dqbq</f>
        <v>29</v>
      </c>
      <c r="C1698" s="1"/>
    </row>
    <row r="1699" spans="1:3" ht="17" x14ac:dyDescent="0.25">
      <c r="A1699" s="3" t="s">
        <v>279</v>
      </c>
      <c r="B1699" s="3">
        <f>7</f>
        <v>7</v>
      </c>
      <c r="C1699" s="1"/>
    </row>
    <row r="1700" spans="1:3" ht="17" x14ac:dyDescent="0.25">
      <c r="A1700" s="3" t="s">
        <v>352</v>
      </c>
      <c r="B1700" s="3">
        <f xml:space="preserve"> chbn - zntm</f>
        <v>15</v>
      </c>
      <c r="C1700" s="1"/>
    </row>
    <row r="1701" spans="1:3" ht="17" x14ac:dyDescent="0.25">
      <c r="A1701" s="3" t="s">
        <v>1252</v>
      </c>
      <c r="B1701" s="3">
        <f xml:space="preserve"> zgtv + qnpz</f>
        <v>86</v>
      </c>
      <c r="C1701" s="1"/>
    </row>
    <row r="1702" spans="1:3" ht="17" x14ac:dyDescent="0.25">
      <c r="A1702" s="3" t="s">
        <v>2311</v>
      </c>
      <c r="B1702" s="3">
        <f>2</f>
        <v>2</v>
      </c>
      <c r="C1702" s="1"/>
    </row>
    <row r="1703" spans="1:3" ht="17" x14ac:dyDescent="0.25">
      <c r="A1703" s="3" t="s">
        <v>2312</v>
      </c>
      <c r="B1703" s="3">
        <f>4</f>
        <v>4</v>
      </c>
      <c r="C1703" s="1"/>
    </row>
    <row r="1704" spans="1:3" ht="17" x14ac:dyDescent="0.25">
      <c r="A1704" s="3" t="s">
        <v>2313</v>
      </c>
      <c r="B1704" s="3">
        <f xml:space="preserve"> gnpd + ntqj</f>
        <v>7</v>
      </c>
      <c r="C1704" s="1"/>
    </row>
    <row r="1705" spans="1:3" ht="17" x14ac:dyDescent="0.25">
      <c r="A1705" s="3" t="s">
        <v>2314</v>
      </c>
      <c r="B1705" s="3">
        <f>2</f>
        <v>2</v>
      </c>
      <c r="C1705" s="1"/>
    </row>
    <row r="1706" spans="1:3" ht="17" x14ac:dyDescent="0.25">
      <c r="A1706" s="3" t="s">
        <v>344</v>
      </c>
      <c r="B1706" s="3">
        <f>7</f>
        <v>7</v>
      </c>
      <c r="C1706" s="1"/>
    </row>
    <row r="1707" spans="1:3" ht="17" x14ac:dyDescent="0.25">
      <c r="A1707" s="3" t="s">
        <v>1918</v>
      </c>
      <c r="B1707" s="3">
        <f xml:space="preserve"> qvqt * bvqs</f>
        <v>40</v>
      </c>
      <c r="C1707" s="1"/>
    </row>
    <row r="1708" spans="1:3" ht="17" x14ac:dyDescent="0.25">
      <c r="A1708" s="3" t="s">
        <v>653</v>
      </c>
      <c r="B1708" s="3">
        <f xml:space="preserve"> whhd * nhgb</f>
        <v>889</v>
      </c>
      <c r="C1708" s="1"/>
    </row>
    <row r="1709" spans="1:3" ht="17" x14ac:dyDescent="0.25">
      <c r="A1709" s="3" t="s">
        <v>1929</v>
      </c>
      <c r="B1709" s="3">
        <f xml:space="preserve"> rvrp * qhvt</f>
        <v>12</v>
      </c>
      <c r="C1709" s="1"/>
    </row>
    <row r="1710" spans="1:3" ht="17" x14ac:dyDescent="0.25">
      <c r="A1710" s="3" t="s">
        <v>2319</v>
      </c>
      <c r="B1710" s="3">
        <f xml:space="preserve"> bsgd + cwwf</f>
        <v>43</v>
      </c>
      <c r="C1710" s="1"/>
    </row>
    <row r="1711" spans="1:3" ht="17" x14ac:dyDescent="0.25">
      <c r="A1711" s="3" t="s">
        <v>2284</v>
      </c>
      <c r="B1711" s="3">
        <f>2</f>
        <v>2</v>
      </c>
      <c r="C1711" s="1"/>
    </row>
    <row r="1712" spans="1:3" ht="17" x14ac:dyDescent="0.25">
      <c r="A1712" s="3" t="s">
        <v>2176</v>
      </c>
      <c r="B1712" s="3">
        <f xml:space="preserve"> tjcr + gvmd</f>
        <v>211</v>
      </c>
      <c r="C1712" s="1"/>
    </row>
    <row r="1713" spans="1:3" ht="17" x14ac:dyDescent="0.25">
      <c r="A1713" s="3" t="s">
        <v>94</v>
      </c>
      <c r="B1713" s="3">
        <f xml:space="preserve"> zdqz / lplv</f>
        <v>32</v>
      </c>
      <c r="C1713" s="1"/>
    </row>
    <row r="1714" spans="1:3" ht="17" x14ac:dyDescent="0.25">
      <c r="A1714" s="3" t="s">
        <v>2322</v>
      </c>
      <c r="B1714" s="3">
        <f>3</f>
        <v>3</v>
      </c>
      <c r="C1714" s="1"/>
    </row>
    <row r="1715" spans="1:3" ht="17" x14ac:dyDescent="0.25">
      <c r="A1715" s="3" t="s">
        <v>240</v>
      </c>
      <c r="B1715" s="3">
        <f xml:space="preserve"> jlvt * wzfs</f>
        <v>50</v>
      </c>
      <c r="C1715" s="1"/>
    </row>
    <row r="1716" spans="1:3" ht="17" x14ac:dyDescent="0.25">
      <c r="A1716" s="3" t="s">
        <v>807</v>
      </c>
      <c r="B1716" s="3">
        <f xml:space="preserve"> dccw * shpg</f>
        <v>58</v>
      </c>
      <c r="C1716" s="1"/>
    </row>
    <row r="1717" spans="1:3" ht="17" x14ac:dyDescent="0.25">
      <c r="A1717" s="3" t="s">
        <v>2324</v>
      </c>
      <c r="B1717" s="3">
        <f>8</f>
        <v>8</v>
      </c>
      <c r="C1717" s="1"/>
    </row>
    <row r="1718" spans="1:3" ht="17" x14ac:dyDescent="0.25">
      <c r="A1718" s="3" t="s">
        <v>95</v>
      </c>
      <c r="B1718" s="3">
        <f>2</f>
        <v>2</v>
      </c>
      <c r="C1718" s="1"/>
    </row>
    <row r="1719" spans="1:3" ht="17" x14ac:dyDescent="0.25">
      <c r="A1719" s="3" t="s">
        <v>1655</v>
      </c>
      <c r="B1719" s="3">
        <f xml:space="preserve"> qtwt / sjdl</f>
        <v>7</v>
      </c>
      <c r="C1719" s="1"/>
    </row>
    <row r="1720" spans="1:3" ht="17" x14ac:dyDescent="0.25">
      <c r="A1720" s="3" t="s">
        <v>284</v>
      </c>
      <c r="B1720" s="3">
        <f xml:space="preserve"> sbvg - vlqj</f>
        <v>10</v>
      </c>
      <c r="C1720" s="1"/>
    </row>
    <row r="1721" spans="1:3" ht="17" x14ac:dyDescent="0.25">
      <c r="A1721" s="3" t="s">
        <v>2326</v>
      </c>
      <c r="B1721" s="3">
        <f xml:space="preserve"> tnqp + whpr</f>
        <v>9</v>
      </c>
      <c r="C1721" s="1"/>
    </row>
    <row r="1722" spans="1:3" ht="17" x14ac:dyDescent="0.25">
      <c r="A1722" s="3" t="s">
        <v>2328</v>
      </c>
      <c r="B1722" s="3">
        <f xml:space="preserve"> ncdw + lllf</f>
        <v>14</v>
      </c>
      <c r="C1722" s="1"/>
    </row>
    <row r="1723" spans="1:3" ht="17" x14ac:dyDescent="0.25">
      <c r="A1723" s="3" t="s">
        <v>2301</v>
      </c>
      <c r="B1723" s="3">
        <f xml:space="preserve"> qzgr * mdgl</f>
        <v>8</v>
      </c>
      <c r="C1723" s="1"/>
    </row>
    <row r="1724" spans="1:3" ht="17" x14ac:dyDescent="0.25">
      <c r="A1724" s="3" t="s">
        <v>2330</v>
      </c>
      <c r="B1724" s="3">
        <f>3</f>
        <v>3</v>
      </c>
      <c r="C1724" s="1"/>
    </row>
    <row r="1725" spans="1:3" ht="17" x14ac:dyDescent="0.25">
      <c r="A1725" s="3" t="s">
        <v>1963</v>
      </c>
      <c r="B1725" s="3">
        <f>1</f>
        <v>1</v>
      </c>
      <c r="C1725" s="1"/>
    </row>
    <row r="1726" spans="1:3" ht="17" x14ac:dyDescent="0.25">
      <c r="A1726" s="3" t="s">
        <v>1848</v>
      </c>
      <c r="B1726" s="3">
        <f xml:space="preserve"> zwdr * rmvz</f>
        <v>18</v>
      </c>
      <c r="C1726" s="1"/>
    </row>
    <row r="1727" spans="1:3" ht="17" x14ac:dyDescent="0.25">
      <c r="A1727" s="3" t="s">
        <v>1569</v>
      </c>
      <c r="B1727" s="3">
        <f xml:space="preserve"> zshc * nvjn</f>
        <v>6</v>
      </c>
      <c r="C1727" s="1"/>
    </row>
    <row r="1728" spans="1:3" ht="17" x14ac:dyDescent="0.25">
      <c r="A1728" s="3" t="s">
        <v>1647</v>
      </c>
      <c r="B1728" s="3">
        <f xml:space="preserve"> qmdq + dbqz</f>
        <v>16</v>
      </c>
      <c r="C1728" s="1"/>
    </row>
    <row r="1729" spans="1:3" ht="17" x14ac:dyDescent="0.25">
      <c r="A1729" s="3" t="s">
        <v>1855</v>
      </c>
      <c r="B1729" s="3">
        <f>3</f>
        <v>3</v>
      </c>
      <c r="C1729" s="1"/>
    </row>
    <row r="1730" spans="1:3" ht="17" x14ac:dyDescent="0.25">
      <c r="A1730" s="3" t="s">
        <v>2157</v>
      </c>
      <c r="B1730" s="3">
        <f xml:space="preserve"> pvzz * rpbl</f>
        <v>6348406</v>
      </c>
      <c r="C1730" s="1"/>
    </row>
    <row r="1731" spans="1:3" ht="17" x14ac:dyDescent="0.25">
      <c r="A1731" s="3" t="s">
        <v>357</v>
      </c>
      <c r="B1731" s="3">
        <f>6</f>
        <v>6</v>
      </c>
      <c r="C1731" s="1"/>
    </row>
    <row r="1732" spans="1:3" ht="17" x14ac:dyDescent="0.25">
      <c r="A1732" s="3" t="s">
        <v>1561</v>
      </c>
      <c r="B1732" s="3">
        <f>3</f>
        <v>3</v>
      </c>
      <c r="C1732" s="1"/>
    </row>
    <row r="1733" spans="1:3" ht="17" x14ac:dyDescent="0.25">
      <c r="A1733" s="3" t="s">
        <v>2332</v>
      </c>
      <c r="B1733" s="3">
        <f xml:space="preserve"> mtmh + vbmg</f>
        <v>59</v>
      </c>
      <c r="C1733" s="1"/>
    </row>
    <row r="1734" spans="1:3" ht="17" x14ac:dyDescent="0.25">
      <c r="A1734" s="3" t="s">
        <v>2013</v>
      </c>
      <c r="B1734" s="3">
        <f>5</f>
        <v>5</v>
      </c>
      <c r="C1734" s="1"/>
    </row>
    <row r="1735" spans="1:3" ht="17" x14ac:dyDescent="0.25">
      <c r="A1735" s="3" t="s">
        <v>1126</v>
      </c>
      <c r="B1735" s="3">
        <f>2</f>
        <v>2</v>
      </c>
      <c r="C1735" s="1"/>
    </row>
    <row r="1736" spans="1:3" ht="17" x14ac:dyDescent="0.25">
      <c r="A1736" s="3" t="s">
        <v>61</v>
      </c>
      <c r="B1736" s="3">
        <f>11</f>
        <v>11</v>
      </c>
      <c r="C1736" s="1"/>
    </row>
    <row r="1737" spans="1:3" ht="17" x14ac:dyDescent="0.25">
      <c r="A1737" s="3" t="s">
        <v>756</v>
      </c>
      <c r="B1737" s="3">
        <f xml:space="preserve"> nnnz * vntl</f>
        <v>18</v>
      </c>
      <c r="C1737" s="1"/>
    </row>
    <row r="1738" spans="1:3" ht="17" x14ac:dyDescent="0.25">
      <c r="A1738" s="3" t="s">
        <v>2334</v>
      </c>
      <c r="B1738" s="3">
        <f>3</f>
        <v>3</v>
      </c>
      <c r="C1738" s="1"/>
    </row>
    <row r="1739" spans="1:3" ht="17" x14ac:dyDescent="0.25">
      <c r="A1739" s="3" t="s">
        <v>2335</v>
      </c>
      <c r="B1739" s="3">
        <f>5</f>
        <v>5</v>
      </c>
      <c r="C1739" s="1"/>
    </row>
    <row r="1740" spans="1:3" ht="17" x14ac:dyDescent="0.25">
      <c r="A1740" s="3" t="s">
        <v>1077</v>
      </c>
      <c r="B1740" s="3">
        <f>9</f>
        <v>9</v>
      </c>
      <c r="C1740" s="1"/>
    </row>
    <row r="1741" spans="1:3" ht="17" x14ac:dyDescent="0.25">
      <c r="A1741" s="3" t="s">
        <v>1061</v>
      </c>
      <c r="B1741" s="3">
        <f>2</f>
        <v>2</v>
      </c>
      <c r="C1741" s="1"/>
    </row>
    <row r="1742" spans="1:3" ht="17" x14ac:dyDescent="0.25">
      <c r="A1742" s="3" t="s">
        <v>1365</v>
      </c>
      <c r="B1742" s="3">
        <f>20</f>
        <v>20</v>
      </c>
      <c r="C1742" s="1"/>
    </row>
    <row r="1743" spans="1:3" ht="17" x14ac:dyDescent="0.25">
      <c r="A1743" s="3" t="s">
        <v>1637</v>
      </c>
      <c r="B1743" s="3">
        <f>2</f>
        <v>2</v>
      </c>
      <c r="C1743" s="1"/>
    </row>
    <row r="1744" spans="1:3" ht="17" x14ac:dyDescent="0.25">
      <c r="A1744" s="3" t="s">
        <v>1465</v>
      </c>
      <c r="B1744" s="3">
        <f>3</f>
        <v>3</v>
      </c>
      <c r="C1744" s="1"/>
    </row>
    <row r="1745" spans="1:3" ht="17" x14ac:dyDescent="0.25">
      <c r="A1745" s="3" t="s">
        <v>671</v>
      </c>
      <c r="B1745" s="3">
        <f>3</f>
        <v>3</v>
      </c>
      <c r="C1745" s="1"/>
    </row>
    <row r="1746" spans="1:3" ht="17" x14ac:dyDescent="0.25">
      <c r="A1746" s="3" t="s">
        <v>2071</v>
      </c>
      <c r="B1746" s="3">
        <f xml:space="preserve"> dwzz + nnnd</f>
        <v>57</v>
      </c>
      <c r="C1746" s="1"/>
    </row>
    <row r="1747" spans="1:3" ht="17" x14ac:dyDescent="0.25">
      <c r="A1747" s="3" t="s">
        <v>1612</v>
      </c>
      <c r="B1747" s="3">
        <f xml:space="preserve"> blbw + jrld</f>
        <v>13</v>
      </c>
      <c r="C1747" s="1"/>
    </row>
    <row r="1748" spans="1:3" ht="17" x14ac:dyDescent="0.25">
      <c r="A1748" s="3" t="s">
        <v>1724</v>
      </c>
      <c r="B1748" s="3">
        <f xml:space="preserve"> jshj + dnzn</f>
        <v>11</v>
      </c>
      <c r="C1748" s="1"/>
    </row>
    <row r="1749" spans="1:3" ht="17" x14ac:dyDescent="0.25">
      <c r="A1749" s="3" t="s">
        <v>2337</v>
      </c>
      <c r="B1749" s="3">
        <f>2</f>
        <v>2</v>
      </c>
      <c r="C1749" s="1"/>
    </row>
    <row r="1750" spans="1:3" ht="17" x14ac:dyDescent="0.25">
      <c r="A1750" s="3" t="s">
        <v>398</v>
      </c>
      <c r="B1750" s="3">
        <f>2</f>
        <v>2</v>
      </c>
      <c r="C1750" s="1"/>
    </row>
    <row r="1751" spans="1:3" ht="17" x14ac:dyDescent="0.25">
      <c r="A1751" s="3" t="s">
        <v>9</v>
      </c>
      <c r="B1751" s="3">
        <f>3</f>
        <v>3</v>
      </c>
      <c r="C1751" s="1"/>
    </row>
    <row r="1752" spans="1:3" ht="17" x14ac:dyDescent="0.25">
      <c r="A1752" s="3" t="s">
        <v>1454</v>
      </c>
      <c r="B1752" s="3">
        <f xml:space="preserve"> jgcf + rfmb</f>
        <v>1783</v>
      </c>
      <c r="C1752" s="1"/>
    </row>
    <row r="1753" spans="1:3" ht="17" x14ac:dyDescent="0.25">
      <c r="A1753" s="3" t="s">
        <v>2338</v>
      </c>
      <c r="B1753" s="3">
        <f>6</f>
        <v>6</v>
      </c>
      <c r="C1753" s="1"/>
    </row>
    <row r="1754" spans="1:3" ht="17" x14ac:dyDescent="0.25">
      <c r="A1754" s="3" t="s">
        <v>2339</v>
      </c>
      <c r="B1754" s="3">
        <f xml:space="preserve"> vgsf + npmd</f>
        <v>13</v>
      </c>
      <c r="C1754" s="1"/>
    </row>
    <row r="1755" spans="1:3" ht="17" x14ac:dyDescent="0.25">
      <c r="A1755" s="3" t="s">
        <v>1210</v>
      </c>
      <c r="B1755" s="3">
        <f>8</f>
        <v>8</v>
      </c>
      <c r="C1755" s="1"/>
    </row>
    <row r="1756" spans="1:3" ht="17" x14ac:dyDescent="0.25">
      <c r="A1756" s="3" t="s">
        <v>1547</v>
      </c>
      <c r="B1756" s="3">
        <f>14</f>
        <v>14</v>
      </c>
      <c r="C1756" s="1"/>
    </row>
    <row r="1757" spans="1:3" ht="17" x14ac:dyDescent="0.25">
      <c r="A1757" s="3" t="s">
        <v>2341</v>
      </c>
      <c r="B1757" s="3">
        <f xml:space="preserve"> rdzb * zhlb</f>
        <v>222</v>
      </c>
      <c r="C1757" s="1"/>
    </row>
    <row r="1758" spans="1:3" ht="17" x14ac:dyDescent="0.25">
      <c r="A1758" s="3" t="s">
        <v>1563</v>
      </c>
      <c r="B1758" s="3">
        <f xml:space="preserve"> svln * bgsq</f>
        <v>105</v>
      </c>
      <c r="C1758" s="1"/>
    </row>
    <row r="1759" spans="1:3" ht="17" x14ac:dyDescent="0.25">
      <c r="A1759" s="3" t="s">
        <v>2342</v>
      </c>
      <c r="B1759" s="3">
        <f xml:space="preserve"> rbtt / nfzd</f>
        <v>11</v>
      </c>
      <c r="C1759" s="1"/>
    </row>
    <row r="1760" spans="1:3" ht="17" x14ac:dyDescent="0.25">
      <c r="A1760" s="3" t="s">
        <v>1453</v>
      </c>
      <c r="B1760" s="3">
        <f>20</f>
        <v>20</v>
      </c>
      <c r="C1760" s="1"/>
    </row>
    <row r="1761" spans="1:3" ht="17" x14ac:dyDescent="0.25">
      <c r="A1761" s="3" t="s">
        <v>1911</v>
      </c>
      <c r="B1761" s="3">
        <f>3</f>
        <v>3</v>
      </c>
      <c r="C1761" s="1"/>
    </row>
    <row r="1762" spans="1:3" ht="17" x14ac:dyDescent="0.25">
      <c r="A1762" s="3" t="s">
        <v>696</v>
      </c>
      <c r="B1762" s="3">
        <f xml:space="preserve"> qqdw * zcfq</f>
        <v>429</v>
      </c>
      <c r="C1762" s="1"/>
    </row>
    <row r="1763" spans="1:3" ht="17" x14ac:dyDescent="0.25">
      <c r="A1763" s="3" t="s">
        <v>1809</v>
      </c>
      <c r="B1763" s="3">
        <f>14</f>
        <v>14</v>
      </c>
      <c r="C1763" s="1"/>
    </row>
    <row r="1764" spans="1:3" ht="17" x14ac:dyDescent="0.25">
      <c r="A1764" s="3" t="s">
        <v>2345</v>
      </c>
      <c r="B1764" s="3">
        <f>2</f>
        <v>2</v>
      </c>
      <c r="C1764" s="1"/>
    </row>
    <row r="1765" spans="1:3" ht="17" x14ac:dyDescent="0.25">
      <c r="A1765" s="3" t="s">
        <v>994</v>
      </c>
      <c r="B1765" s="3">
        <f xml:space="preserve"> rbrw / vmqt</f>
        <v>15610303684582</v>
      </c>
      <c r="C1765" s="1"/>
    </row>
    <row r="1766" spans="1:3" ht="17" x14ac:dyDescent="0.25">
      <c r="A1766" s="3" t="s">
        <v>2346</v>
      </c>
      <c r="B1766" s="3">
        <f xml:space="preserve"> nbmh + ftqp</f>
        <v>7</v>
      </c>
      <c r="C1766" s="1"/>
    </row>
    <row r="1767" spans="1:3" ht="17" x14ac:dyDescent="0.25">
      <c r="A1767" s="3" t="s">
        <v>2348</v>
      </c>
      <c r="B1767" s="3">
        <f>8</f>
        <v>8</v>
      </c>
      <c r="C1767" s="1"/>
    </row>
    <row r="1768" spans="1:3" ht="17" x14ac:dyDescent="0.25">
      <c r="A1768" s="3" t="s">
        <v>2349</v>
      </c>
      <c r="B1768" s="3">
        <f>13</f>
        <v>13</v>
      </c>
      <c r="C1768" s="1"/>
    </row>
    <row r="1769" spans="1:3" ht="17" x14ac:dyDescent="0.25">
      <c r="A1769" s="3" t="s">
        <v>1820</v>
      </c>
      <c r="B1769" s="3">
        <f>3</f>
        <v>3</v>
      </c>
      <c r="C1769" s="1"/>
    </row>
    <row r="1770" spans="1:3" ht="17" x14ac:dyDescent="0.25">
      <c r="A1770" s="3" t="s">
        <v>2106</v>
      </c>
      <c r="B1770" s="3">
        <f xml:space="preserve"> nctq * fhqm</f>
        <v>140</v>
      </c>
      <c r="C1770" s="1"/>
    </row>
    <row r="1771" spans="1:3" ht="17" x14ac:dyDescent="0.25">
      <c r="A1771" s="3" t="s">
        <v>2350</v>
      </c>
      <c r="B1771" s="3">
        <f xml:space="preserve"> qmzp + swjc</f>
        <v>11</v>
      </c>
      <c r="C1771" s="1"/>
    </row>
    <row r="1772" spans="1:3" ht="17" x14ac:dyDescent="0.25">
      <c r="A1772" s="3" t="s">
        <v>2351</v>
      </c>
      <c r="B1772" s="3">
        <f xml:space="preserve"> dbpp * jvpl</f>
        <v>880791705</v>
      </c>
      <c r="C1772" s="1"/>
    </row>
    <row r="1773" spans="1:3" ht="17" x14ac:dyDescent="0.25">
      <c r="A1773" s="3" t="s">
        <v>2258</v>
      </c>
      <c r="B1773" s="3">
        <f xml:space="preserve"> vhgh * gbrj</f>
        <v>6</v>
      </c>
      <c r="C1773" s="1"/>
    </row>
    <row r="1774" spans="1:3" ht="17" x14ac:dyDescent="0.25">
      <c r="A1774" s="3" t="s">
        <v>2241</v>
      </c>
      <c r="B1774" s="3">
        <f>3</f>
        <v>3</v>
      </c>
      <c r="C1774" s="1"/>
    </row>
    <row r="1775" spans="1:3" ht="17" x14ac:dyDescent="0.25">
      <c r="A1775" s="3" t="s">
        <v>2354</v>
      </c>
      <c r="B1775" s="3">
        <f xml:space="preserve"> swcn * qgnj</f>
        <v>219</v>
      </c>
      <c r="C1775" s="1"/>
    </row>
    <row r="1776" spans="1:3" ht="17" x14ac:dyDescent="0.25">
      <c r="A1776" s="3" t="s">
        <v>750</v>
      </c>
      <c r="B1776" s="3">
        <f>2</f>
        <v>2</v>
      </c>
      <c r="C1776" s="1"/>
    </row>
    <row r="1777" spans="1:3" ht="17" x14ac:dyDescent="0.25">
      <c r="A1777" s="3" t="s">
        <v>1475</v>
      </c>
      <c r="B1777" s="3">
        <f xml:space="preserve"> zrlm * nwqb</f>
        <v>914</v>
      </c>
      <c r="C1777" s="1"/>
    </row>
    <row r="1778" spans="1:3" ht="17" x14ac:dyDescent="0.25">
      <c r="A1778" s="3" t="s">
        <v>2260</v>
      </c>
      <c r="B1778" s="3">
        <f>17</f>
        <v>17</v>
      </c>
      <c r="C1778" s="1"/>
    </row>
    <row r="1779" spans="1:3" ht="17" x14ac:dyDescent="0.25">
      <c r="A1779" s="3" t="s">
        <v>604</v>
      </c>
      <c r="B1779" s="3">
        <f>4</f>
        <v>4</v>
      </c>
      <c r="C1779" s="1"/>
    </row>
    <row r="1780" spans="1:3" ht="17" x14ac:dyDescent="0.25">
      <c r="A1780" s="3" t="s">
        <v>2356</v>
      </c>
      <c r="B1780" s="3">
        <f>3</f>
        <v>3</v>
      </c>
      <c r="C1780" s="1"/>
    </row>
    <row r="1781" spans="1:3" ht="17" x14ac:dyDescent="0.25">
      <c r="A1781" s="3" t="s">
        <v>23</v>
      </c>
      <c r="B1781" s="3">
        <f xml:space="preserve"> bbnq + pcch</f>
        <v>11</v>
      </c>
      <c r="C1781" s="1"/>
    </row>
    <row r="1782" spans="1:3" ht="17" x14ac:dyDescent="0.25">
      <c r="A1782" s="3" t="s">
        <v>2357</v>
      </c>
      <c r="B1782" s="3">
        <f>2</f>
        <v>2</v>
      </c>
      <c r="C1782" s="1"/>
    </row>
    <row r="1783" spans="1:3" ht="17" x14ac:dyDescent="0.25">
      <c r="A1783" s="3" t="s">
        <v>2358</v>
      </c>
      <c r="B1783" s="3">
        <f>4</f>
        <v>4</v>
      </c>
      <c r="C1783" s="1"/>
    </row>
    <row r="1784" spans="1:3" ht="17" x14ac:dyDescent="0.25">
      <c r="A1784" s="3" t="s">
        <v>2359</v>
      </c>
      <c r="B1784" s="3">
        <f xml:space="preserve"> msht + jclw</f>
        <v>17</v>
      </c>
      <c r="C1784" s="1"/>
    </row>
    <row r="1785" spans="1:3" ht="17" x14ac:dyDescent="0.25">
      <c r="A1785" s="3" t="s">
        <v>1497</v>
      </c>
      <c r="B1785" s="3">
        <f>3</f>
        <v>3</v>
      </c>
      <c r="C1785" s="1"/>
    </row>
    <row r="1786" spans="1:3" ht="17" x14ac:dyDescent="0.25">
      <c r="A1786" s="3" t="s">
        <v>2360</v>
      </c>
      <c r="B1786" s="3">
        <f xml:space="preserve"> dlcz * glpn</f>
        <v>22</v>
      </c>
      <c r="C1786" s="1"/>
    </row>
    <row r="1787" spans="1:3" ht="17" x14ac:dyDescent="0.25">
      <c r="A1787" s="3" t="s">
        <v>2362</v>
      </c>
      <c r="B1787" s="3">
        <f xml:space="preserve"> lgpq * bwdz</f>
        <v>1004</v>
      </c>
      <c r="C1787" s="1"/>
    </row>
    <row r="1788" spans="1:3" ht="17" x14ac:dyDescent="0.25">
      <c r="A1788" s="3" t="s">
        <v>1732</v>
      </c>
      <c r="B1788" s="3">
        <f>2</f>
        <v>2</v>
      </c>
      <c r="C1788" s="1"/>
    </row>
    <row r="1789" spans="1:3" ht="17" x14ac:dyDescent="0.25">
      <c r="A1789" s="3" t="s">
        <v>1852</v>
      </c>
      <c r="B1789" s="3">
        <f xml:space="preserve"> gdqr + fhql</f>
        <v>102260302008896</v>
      </c>
      <c r="C1789" s="1"/>
    </row>
    <row r="1790" spans="1:3" ht="17" x14ac:dyDescent="0.25">
      <c r="A1790" s="3" t="s">
        <v>2363</v>
      </c>
      <c r="B1790" s="3">
        <f xml:space="preserve"> rphp * jtjj</f>
        <v>22</v>
      </c>
      <c r="C1790" s="1"/>
    </row>
    <row r="1791" spans="1:3" ht="17" x14ac:dyDescent="0.25">
      <c r="A1791" s="3" t="s">
        <v>2364</v>
      </c>
      <c r="B1791" s="3">
        <f xml:space="preserve"> mrwj / nqcw</f>
        <v>9941</v>
      </c>
      <c r="C1791" s="1"/>
    </row>
    <row r="1792" spans="1:3" ht="17" x14ac:dyDescent="0.25">
      <c r="A1792" s="3" t="s">
        <v>2367</v>
      </c>
      <c r="B1792" s="3">
        <f xml:space="preserve"> phmr * rzmd</f>
        <v>119292</v>
      </c>
      <c r="C1792" s="1"/>
    </row>
    <row r="1793" spans="1:3" ht="17" x14ac:dyDescent="0.25">
      <c r="A1793" s="3" t="s">
        <v>2369</v>
      </c>
      <c r="B1793" s="3">
        <f>2</f>
        <v>2</v>
      </c>
      <c r="C1793" s="1"/>
    </row>
    <row r="1794" spans="1:3" ht="17" x14ac:dyDescent="0.25">
      <c r="A1794" s="3" t="s">
        <v>1994</v>
      </c>
      <c r="B1794" s="3">
        <f xml:space="preserve"> tdqc * bzpt</f>
        <v>39</v>
      </c>
      <c r="C1794" s="1"/>
    </row>
    <row r="1795" spans="1:3" ht="17" x14ac:dyDescent="0.25">
      <c r="A1795" s="3" t="s">
        <v>1708</v>
      </c>
      <c r="B1795" s="3">
        <f xml:space="preserve"> jnct + hnct</f>
        <v>13</v>
      </c>
      <c r="C1795" s="1"/>
    </row>
    <row r="1796" spans="1:3" ht="17" x14ac:dyDescent="0.25">
      <c r="A1796" s="3" t="s">
        <v>1660</v>
      </c>
      <c r="B1796" s="3">
        <f xml:space="preserve"> zclc + nqsh</f>
        <v>353</v>
      </c>
      <c r="C1796" s="1"/>
    </row>
    <row r="1797" spans="1:3" ht="17" x14ac:dyDescent="0.25">
      <c r="A1797" s="3" t="s">
        <v>2373</v>
      </c>
      <c r="B1797" s="3">
        <f xml:space="preserve"> mlhf / sgcb</f>
        <v>17043383668042</v>
      </c>
      <c r="C1797" s="1"/>
    </row>
    <row r="1798" spans="1:3" ht="17" x14ac:dyDescent="0.25">
      <c r="A1798" s="3" t="s">
        <v>1980</v>
      </c>
      <c r="B1798" s="3">
        <f xml:space="preserve"> cdbf - hhbj</f>
        <v>37</v>
      </c>
      <c r="C1798" s="1"/>
    </row>
    <row r="1799" spans="1:3" ht="17" x14ac:dyDescent="0.25">
      <c r="A1799" s="3" t="s">
        <v>2377</v>
      </c>
      <c r="B1799" s="3">
        <f xml:space="preserve"> lhml + tfpc</f>
        <v>19</v>
      </c>
      <c r="C1799" s="1"/>
    </row>
    <row r="1800" spans="1:3" ht="17" x14ac:dyDescent="0.25">
      <c r="A1800" s="3" t="s">
        <v>2378</v>
      </c>
      <c r="B1800" s="3">
        <f xml:space="preserve"> njtt * mcqn</f>
        <v>8</v>
      </c>
      <c r="C1800" s="1"/>
    </row>
    <row r="1801" spans="1:3" ht="17" x14ac:dyDescent="0.25">
      <c r="A1801" s="3" t="s">
        <v>2380</v>
      </c>
      <c r="B1801" s="3">
        <f>3</f>
        <v>3</v>
      </c>
      <c r="C1801" s="1"/>
    </row>
    <row r="1802" spans="1:3" ht="17" x14ac:dyDescent="0.25">
      <c r="A1802" s="3" t="s">
        <v>1456</v>
      </c>
      <c r="B1802" s="3">
        <f xml:space="preserve"> zfbr + qbnw</f>
        <v>61</v>
      </c>
      <c r="C1802" s="1"/>
    </row>
    <row r="1803" spans="1:3" ht="17" x14ac:dyDescent="0.25">
      <c r="A1803" s="3" t="s">
        <v>2382</v>
      </c>
      <c r="B1803" s="3">
        <f>6</f>
        <v>6</v>
      </c>
      <c r="C1803" s="1"/>
    </row>
    <row r="1804" spans="1:3" ht="17" x14ac:dyDescent="0.25">
      <c r="A1804" s="3" t="s">
        <v>667</v>
      </c>
      <c r="B1804" s="3">
        <f xml:space="preserve"> rczm + tlgz</f>
        <v>7</v>
      </c>
      <c r="C1804" s="1"/>
    </row>
    <row r="1805" spans="1:3" ht="17" x14ac:dyDescent="0.25">
      <c r="A1805" s="3" t="s">
        <v>2383</v>
      </c>
      <c r="B1805" s="3">
        <f>2</f>
        <v>2</v>
      </c>
      <c r="C1805" s="1"/>
    </row>
    <row r="1806" spans="1:3" ht="17" x14ac:dyDescent="0.25">
      <c r="A1806" s="3" t="s">
        <v>1957</v>
      </c>
      <c r="B1806" s="3">
        <f>2</f>
        <v>2</v>
      </c>
      <c r="C1806" s="1"/>
    </row>
    <row r="1807" spans="1:3" ht="17" x14ac:dyDescent="0.25">
      <c r="A1807" s="3" t="s">
        <v>911</v>
      </c>
      <c r="B1807" s="3">
        <f>2</f>
        <v>2</v>
      </c>
      <c r="C1807" s="1"/>
    </row>
    <row r="1808" spans="1:3" ht="17" x14ac:dyDescent="0.25">
      <c r="A1808" s="3" t="s">
        <v>2156</v>
      </c>
      <c r="B1808" s="3">
        <f xml:space="preserve"> zprc * djgb</f>
        <v>22</v>
      </c>
      <c r="C1808" s="1"/>
    </row>
    <row r="1809" spans="1:3" ht="17" x14ac:dyDescent="0.25">
      <c r="A1809" s="3" t="s">
        <v>730</v>
      </c>
      <c r="B1809" s="3">
        <f>3</f>
        <v>3</v>
      </c>
      <c r="C1809" s="1"/>
    </row>
    <row r="1810" spans="1:3" ht="17" x14ac:dyDescent="0.25">
      <c r="A1810" s="3" t="s">
        <v>2385</v>
      </c>
      <c r="B1810" s="3">
        <f>2</f>
        <v>2</v>
      </c>
      <c r="C1810" s="1"/>
    </row>
    <row r="1811" spans="1:3" ht="17" x14ac:dyDescent="0.25">
      <c r="A1811" s="3" t="s">
        <v>2215</v>
      </c>
      <c r="B1811" s="3">
        <f>9</f>
        <v>9</v>
      </c>
      <c r="C1811" s="1"/>
    </row>
    <row r="1812" spans="1:3" ht="17" x14ac:dyDescent="0.25">
      <c r="A1812" s="3" t="s">
        <v>1687</v>
      </c>
      <c r="B1812" s="3">
        <f xml:space="preserve"> pwtz + pmgn</f>
        <v>71</v>
      </c>
      <c r="C1812" s="1"/>
    </row>
    <row r="1813" spans="1:3" ht="17" x14ac:dyDescent="0.25">
      <c r="A1813" s="3" t="s">
        <v>2162</v>
      </c>
      <c r="B1813" s="3">
        <f xml:space="preserve"> tsjz * qmvc</f>
        <v>900</v>
      </c>
      <c r="C1813" s="1"/>
    </row>
    <row r="1814" spans="1:3" ht="17" x14ac:dyDescent="0.25">
      <c r="A1814" s="3" t="s">
        <v>2092</v>
      </c>
      <c r="B1814" s="3">
        <f>2</f>
        <v>2</v>
      </c>
      <c r="C1814" s="1"/>
    </row>
    <row r="1815" spans="1:3" ht="17" x14ac:dyDescent="0.25">
      <c r="A1815" s="3" t="s">
        <v>2389</v>
      </c>
      <c r="B1815" s="3">
        <f xml:space="preserve"> hprc + nrdn</f>
        <v>11</v>
      </c>
      <c r="C1815" s="1"/>
    </row>
    <row r="1816" spans="1:3" ht="17" x14ac:dyDescent="0.25">
      <c r="A1816" s="3" t="s">
        <v>1442</v>
      </c>
      <c r="B1816" s="3">
        <f xml:space="preserve"> wrcr + jvpm</f>
        <v>31</v>
      </c>
      <c r="C1816" s="1"/>
    </row>
    <row r="1817" spans="1:3" ht="17" x14ac:dyDescent="0.25">
      <c r="A1817" s="3" t="s">
        <v>2392</v>
      </c>
      <c r="B1817" s="3">
        <f>3</f>
        <v>3</v>
      </c>
      <c r="C1817" s="1"/>
    </row>
    <row r="1818" spans="1:3" ht="17" x14ac:dyDescent="0.25">
      <c r="A1818" s="3" t="s">
        <v>2244</v>
      </c>
      <c r="B1818" s="3">
        <f xml:space="preserve"> fbpw - llhf</f>
        <v>9</v>
      </c>
      <c r="C1818" s="1"/>
    </row>
    <row r="1819" spans="1:3" ht="17" x14ac:dyDescent="0.25">
      <c r="A1819" s="3" t="s">
        <v>2065</v>
      </c>
      <c r="B1819" s="3">
        <f xml:space="preserve"> zppc + dqpj</f>
        <v>53</v>
      </c>
      <c r="C1819" s="1"/>
    </row>
    <row r="1820" spans="1:3" ht="17" x14ac:dyDescent="0.25">
      <c r="A1820" s="3" t="s">
        <v>2395</v>
      </c>
      <c r="B1820" s="3">
        <f xml:space="preserve"> lszf + pfbd</f>
        <v>71</v>
      </c>
      <c r="C1820" s="1"/>
    </row>
    <row r="1821" spans="1:3" ht="17" x14ac:dyDescent="0.25">
      <c r="A1821" s="3" t="s">
        <v>2396</v>
      </c>
      <c r="B1821" s="3">
        <f>9</f>
        <v>9</v>
      </c>
      <c r="C1821" s="1"/>
    </row>
    <row r="1822" spans="1:3" ht="17" x14ac:dyDescent="0.25">
      <c r="A1822" s="3" t="s">
        <v>2397</v>
      </c>
      <c r="B1822" s="3">
        <f xml:space="preserve"> qpdn / tnmv</f>
        <v>1879784963238</v>
      </c>
      <c r="C1822" s="1"/>
    </row>
    <row r="1823" spans="1:3" ht="17" x14ac:dyDescent="0.25">
      <c r="A1823" s="3" t="s">
        <v>2060</v>
      </c>
      <c r="B1823" s="3">
        <f>2</f>
        <v>2</v>
      </c>
      <c r="C1823" s="1"/>
    </row>
    <row r="1824" spans="1:3" ht="17" x14ac:dyDescent="0.25">
      <c r="A1824" s="3" t="s">
        <v>2398</v>
      </c>
      <c r="B1824" s="3">
        <f xml:space="preserve"> lfcg - grgs</f>
        <v>873</v>
      </c>
      <c r="C1824" s="1"/>
    </row>
    <row r="1825" spans="1:3" ht="17" x14ac:dyDescent="0.25">
      <c r="A1825" s="3" t="s">
        <v>2399</v>
      </c>
      <c r="B1825" s="3">
        <f>6</f>
        <v>6</v>
      </c>
      <c r="C1825" s="1"/>
    </row>
    <row r="1826" spans="1:3" ht="17" x14ac:dyDescent="0.25">
      <c r="A1826" s="3" t="s">
        <v>572</v>
      </c>
      <c r="B1826" s="3">
        <f xml:space="preserve"> snjr + tzft</f>
        <v>9</v>
      </c>
      <c r="C1826" s="1"/>
    </row>
    <row r="1827" spans="1:3" ht="17" x14ac:dyDescent="0.25">
      <c r="A1827" s="3" t="s">
        <v>2288</v>
      </c>
      <c r="B1827" s="3">
        <f xml:space="preserve"> ttcq * lttd</f>
        <v>1660</v>
      </c>
      <c r="C1827" s="1"/>
    </row>
    <row r="1828" spans="1:3" ht="17" x14ac:dyDescent="0.25">
      <c r="A1828" s="3" t="s">
        <v>2277</v>
      </c>
      <c r="B1828" s="3">
        <f xml:space="preserve"> jrcr * vmjl</f>
        <v>46</v>
      </c>
      <c r="C1828" s="1"/>
    </row>
    <row r="1829" spans="1:3" ht="17" x14ac:dyDescent="0.25">
      <c r="A1829" s="3" t="s">
        <v>2403</v>
      </c>
      <c r="B1829" s="3">
        <f>17</f>
        <v>17</v>
      </c>
      <c r="C1829" s="1"/>
    </row>
    <row r="1830" spans="1:3" ht="17" x14ac:dyDescent="0.25">
      <c r="A1830" s="3" t="s">
        <v>2404</v>
      </c>
      <c r="B1830" s="3">
        <f>4</f>
        <v>4</v>
      </c>
      <c r="C1830" s="1"/>
    </row>
    <row r="1831" spans="1:3" ht="17" x14ac:dyDescent="0.25">
      <c r="A1831" s="3" t="s">
        <v>2207</v>
      </c>
      <c r="B1831" s="3">
        <f>19</f>
        <v>19</v>
      </c>
      <c r="C1831" s="1"/>
    </row>
    <row r="1832" spans="1:3" ht="17" x14ac:dyDescent="0.25">
      <c r="A1832" s="3" t="s">
        <v>824</v>
      </c>
      <c r="B1832" s="3">
        <f xml:space="preserve"> bgrl + jfbb</f>
        <v>195</v>
      </c>
      <c r="C1832" s="1"/>
    </row>
    <row r="1833" spans="1:3" ht="17" x14ac:dyDescent="0.25">
      <c r="A1833" s="3" t="s">
        <v>2406</v>
      </c>
      <c r="B1833" s="3">
        <f xml:space="preserve"> fvhj * ptjj</f>
        <v>2223</v>
      </c>
      <c r="C1833" s="1"/>
    </row>
    <row r="1834" spans="1:3" ht="17" x14ac:dyDescent="0.25">
      <c r="A1834" s="3" t="s">
        <v>2155</v>
      </c>
      <c r="B1834" s="3">
        <f xml:space="preserve"> pvpg - dmvm</f>
        <v>7</v>
      </c>
      <c r="C1834" s="1"/>
    </row>
    <row r="1835" spans="1:3" ht="17" x14ac:dyDescent="0.25">
      <c r="A1835" s="3" t="s">
        <v>2409</v>
      </c>
      <c r="B1835" s="3">
        <f>1</f>
        <v>1</v>
      </c>
      <c r="C1835" s="1"/>
    </row>
    <row r="1836" spans="1:3" ht="17" x14ac:dyDescent="0.25">
      <c r="A1836" s="3" t="s">
        <v>1888</v>
      </c>
      <c r="B1836" s="3">
        <f>2</f>
        <v>2</v>
      </c>
      <c r="C1836" s="1"/>
    </row>
    <row r="1837" spans="1:3" ht="17" x14ac:dyDescent="0.25">
      <c r="A1837" s="3" t="s">
        <v>2410</v>
      </c>
      <c r="B1837" s="3">
        <f>3</f>
        <v>3</v>
      </c>
      <c r="C1837" s="1"/>
    </row>
    <row r="1838" spans="1:3" ht="17" x14ac:dyDescent="0.25">
      <c r="A1838" s="3" t="s">
        <v>2411</v>
      </c>
      <c r="B1838" s="3">
        <f xml:space="preserve"> ttsh + frzv</f>
        <v>29</v>
      </c>
      <c r="C1838" s="1"/>
    </row>
    <row r="1839" spans="1:3" ht="17" x14ac:dyDescent="0.25">
      <c r="A1839" s="3" t="s">
        <v>857</v>
      </c>
      <c r="B1839" s="3">
        <f xml:space="preserve"> brqn * mhzj</f>
        <v>36</v>
      </c>
      <c r="C1839" s="1"/>
    </row>
    <row r="1840" spans="1:3" ht="17" x14ac:dyDescent="0.25">
      <c r="A1840" s="3" t="s">
        <v>2121</v>
      </c>
      <c r="B1840" s="3">
        <f xml:space="preserve"> lrsm * jjbm</f>
        <v>72</v>
      </c>
      <c r="C1840" s="1"/>
    </row>
    <row r="1841" spans="1:3" ht="17" x14ac:dyDescent="0.25">
      <c r="A1841" s="3" t="s">
        <v>2402</v>
      </c>
      <c r="B1841" s="3">
        <f>5</f>
        <v>5</v>
      </c>
      <c r="C1841" s="1"/>
    </row>
    <row r="1842" spans="1:3" ht="17" x14ac:dyDescent="0.25">
      <c r="A1842" s="3" t="s">
        <v>2414</v>
      </c>
      <c r="B1842" s="3">
        <f xml:space="preserve"> bpfj / vdcv</f>
        <v>27</v>
      </c>
      <c r="C1842" s="1"/>
    </row>
    <row r="1843" spans="1:3" ht="17" x14ac:dyDescent="0.25">
      <c r="A1843" s="3" t="s">
        <v>1135</v>
      </c>
      <c r="B1843" s="3">
        <f>13</f>
        <v>13</v>
      </c>
      <c r="C1843" s="1"/>
    </row>
    <row r="1844" spans="1:3" ht="17" x14ac:dyDescent="0.25">
      <c r="A1844" s="3" t="s">
        <v>726</v>
      </c>
      <c r="B1844" s="3">
        <f xml:space="preserve"> cfrf + bfwr</f>
        <v>17043383668709</v>
      </c>
      <c r="C1844" s="1"/>
    </row>
    <row r="1845" spans="1:3" ht="17" x14ac:dyDescent="0.25">
      <c r="A1845" s="3" t="s">
        <v>2296</v>
      </c>
      <c r="B1845" s="3">
        <f>1</f>
        <v>1</v>
      </c>
      <c r="C1845" s="1"/>
    </row>
    <row r="1846" spans="1:3" ht="17" x14ac:dyDescent="0.25">
      <c r="A1846" s="3" t="s">
        <v>430</v>
      </c>
      <c r="B1846" s="3">
        <f xml:space="preserve"> rwqb * qmcg</f>
        <v>22</v>
      </c>
      <c r="C1846" s="1"/>
    </row>
    <row r="1847" spans="1:3" ht="17" x14ac:dyDescent="0.25">
      <c r="A1847" s="3" t="s">
        <v>2417</v>
      </c>
      <c r="B1847" s="3">
        <f xml:space="preserve"> lqgr * cbvd</f>
        <v>1186</v>
      </c>
      <c r="C1847" s="1"/>
    </row>
    <row r="1848" spans="1:3" ht="17" x14ac:dyDescent="0.25">
      <c r="A1848" s="3" t="s">
        <v>1717</v>
      </c>
      <c r="B1848" s="3">
        <f>9</f>
        <v>9</v>
      </c>
      <c r="C1848" s="1"/>
    </row>
    <row r="1849" spans="1:3" ht="17" x14ac:dyDescent="0.25">
      <c r="A1849" s="3" t="s">
        <v>2419</v>
      </c>
      <c r="B1849" s="3">
        <f>2</f>
        <v>2</v>
      </c>
      <c r="C1849" s="1"/>
    </row>
    <row r="1850" spans="1:3" ht="17" x14ac:dyDescent="0.25">
      <c r="A1850" s="3" t="s">
        <v>1112</v>
      </c>
      <c r="B1850" s="3">
        <f>6</f>
        <v>6</v>
      </c>
      <c r="C1850" s="1"/>
    </row>
    <row r="1851" spans="1:3" ht="17" x14ac:dyDescent="0.25">
      <c r="A1851" s="3" t="s">
        <v>2126</v>
      </c>
      <c r="B1851" s="3">
        <f xml:space="preserve"> hzwg + ztdt</f>
        <v>39467604359</v>
      </c>
      <c r="C1851" s="1"/>
    </row>
    <row r="1852" spans="1:3" ht="17" x14ac:dyDescent="0.25">
      <c r="A1852" s="3" t="s">
        <v>2138</v>
      </c>
      <c r="B1852" s="3">
        <f xml:space="preserve"> ddzr * mssp</f>
        <v>438</v>
      </c>
      <c r="C1852" s="1"/>
    </row>
    <row r="1853" spans="1:3" ht="17" x14ac:dyDescent="0.25">
      <c r="A1853" s="3" t="s">
        <v>1076</v>
      </c>
      <c r="B1853" s="3">
        <f xml:space="preserve"> nrzv * nsfh</f>
        <v>14</v>
      </c>
      <c r="C1853" s="1"/>
    </row>
    <row r="1854" spans="1:3" ht="17" x14ac:dyDescent="0.25">
      <c r="A1854" s="3" t="s">
        <v>1741</v>
      </c>
      <c r="B1854" s="3">
        <f>3</f>
        <v>3</v>
      </c>
      <c r="C1854" s="1"/>
    </row>
    <row r="1855" spans="1:3" ht="17" x14ac:dyDescent="0.25">
      <c r="A1855" s="3" t="s">
        <v>2333</v>
      </c>
      <c r="B1855" s="3">
        <f xml:space="preserve"> wzsh + cffs</f>
        <v>48</v>
      </c>
      <c r="C1855" s="1"/>
    </row>
    <row r="1856" spans="1:3" ht="17" x14ac:dyDescent="0.25">
      <c r="A1856" s="3" t="s">
        <v>1321</v>
      </c>
      <c r="B1856" s="3">
        <f>4</f>
        <v>4</v>
      </c>
      <c r="C1856" s="1"/>
    </row>
    <row r="1857" spans="1:3" ht="17" x14ac:dyDescent="0.25">
      <c r="A1857" s="3" t="s">
        <v>2424</v>
      </c>
      <c r="B1857" s="3">
        <f>15</f>
        <v>15</v>
      </c>
      <c r="C1857" s="1"/>
    </row>
    <row r="1858" spans="1:3" ht="17" x14ac:dyDescent="0.25">
      <c r="A1858" s="3" t="s">
        <v>2425</v>
      </c>
      <c r="B1858" s="3">
        <f xml:space="preserve"> mtzs * qbjg</f>
        <v>36</v>
      </c>
      <c r="C1858" s="1"/>
    </row>
    <row r="1859" spans="1:3" ht="17" x14ac:dyDescent="0.25">
      <c r="A1859" s="3" t="s">
        <v>2426</v>
      </c>
      <c r="B1859" s="3">
        <f xml:space="preserve"> tltn * vjvn</f>
        <v>129</v>
      </c>
      <c r="C1859" s="1"/>
    </row>
    <row r="1860" spans="1:3" ht="17" x14ac:dyDescent="0.25">
      <c r="A1860" s="3" t="s">
        <v>989</v>
      </c>
      <c r="B1860" s="3">
        <f xml:space="preserve"> humn - pjsw</f>
        <v>3759569926027</v>
      </c>
      <c r="C1860" s="1"/>
    </row>
    <row r="1861" spans="1:3" ht="17" x14ac:dyDescent="0.25">
      <c r="A1861" s="3" t="s">
        <v>910</v>
      </c>
      <c r="B1861" s="3">
        <f xml:space="preserve"> jjjz * pnrd</f>
        <v>21</v>
      </c>
      <c r="C1861" s="1"/>
    </row>
    <row r="1862" spans="1:3" ht="17" x14ac:dyDescent="0.25">
      <c r="A1862" s="3" t="s">
        <v>1342</v>
      </c>
      <c r="B1862" s="3">
        <f>5</f>
        <v>5</v>
      </c>
      <c r="C1862" s="1"/>
    </row>
    <row r="1863" spans="1:3" ht="17" x14ac:dyDescent="0.25">
      <c r="A1863" s="3" t="s">
        <v>2427</v>
      </c>
      <c r="B1863" s="3">
        <f xml:space="preserve"> hbmr + qdrm</f>
        <v>326</v>
      </c>
      <c r="C1863" s="1"/>
    </row>
    <row r="1864" spans="1:3" ht="17" x14ac:dyDescent="0.25">
      <c r="A1864" s="3" t="s">
        <v>2428</v>
      </c>
      <c r="B1864" s="3">
        <f>4</f>
        <v>4</v>
      </c>
      <c r="C1864" s="1"/>
    </row>
    <row r="1865" spans="1:3" ht="17" x14ac:dyDescent="0.25">
      <c r="A1865" s="3" t="s">
        <v>2048</v>
      </c>
      <c r="B1865" s="3">
        <f>4</f>
        <v>4</v>
      </c>
      <c r="C1865" s="1"/>
    </row>
    <row r="1866" spans="1:3" ht="17" x14ac:dyDescent="0.25">
      <c r="A1866" s="3" t="s">
        <v>2429</v>
      </c>
      <c r="B1866" s="3">
        <f xml:space="preserve"> fvpc * tsvp</f>
        <v>10</v>
      </c>
      <c r="C1866" s="1"/>
    </row>
    <row r="1867" spans="1:3" ht="17" x14ac:dyDescent="0.25">
      <c r="A1867" s="3" t="s">
        <v>420</v>
      </c>
      <c r="B1867" s="3">
        <f xml:space="preserve"> bghc / mchq</f>
        <v>51130151000051</v>
      </c>
      <c r="C1867" s="1"/>
    </row>
    <row r="1868" spans="1:3" ht="17" x14ac:dyDescent="0.25">
      <c r="A1868" s="3" t="s">
        <v>2245</v>
      </c>
      <c r="B1868" s="3">
        <f>3</f>
        <v>3</v>
      </c>
      <c r="C1868" s="1"/>
    </row>
    <row r="1869" spans="1:3" ht="17" x14ac:dyDescent="0.25">
      <c r="A1869" s="3" t="s">
        <v>2082</v>
      </c>
      <c r="B1869" s="3">
        <f>5</f>
        <v>5</v>
      </c>
      <c r="C1869" s="1"/>
    </row>
    <row r="1870" spans="1:3" ht="17" x14ac:dyDescent="0.25">
      <c r="A1870" s="3" t="s">
        <v>1868</v>
      </c>
      <c r="B1870" s="3">
        <f xml:space="preserve"> ghqg * cmhd</f>
        <v>39</v>
      </c>
      <c r="C1870" s="1"/>
    </row>
    <row r="1871" spans="1:3" ht="17" x14ac:dyDescent="0.25">
      <c r="A1871" s="3" t="s">
        <v>543</v>
      </c>
      <c r="B1871" s="3">
        <f xml:space="preserve"> mfdj * mwvg</f>
        <v>21</v>
      </c>
      <c r="C1871" s="1"/>
    </row>
    <row r="1872" spans="1:3" ht="17" x14ac:dyDescent="0.25">
      <c r="A1872" s="3" t="s">
        <v>710</v>
      </c>
      <c r="B1872" s="3">
        <f>3</f>
        <v>3</v>
      </c>
      <c r="C1872" s="1"/>
    </row>
    <row r="1873" spans="1:3" ht="17" x14ac:dyDescent="0.25">
      <c r="A1873" s="3" t="s">
        <v>1219</v>
      </c>
      <c r="B1873" s="3">
        <f xml:space="preserve"> hfvw / gdnj</f>
        <v>18</v>
      </c>
      <c r="C1873" s="1"/>
    </row>
    <row r="1874" spans="1:3" ht="17" x14ac:dyDescent="0.25">
      <c r="A1874" s="3" t="s">
        <v>2432</v>
      </c>
      <c r="B1874" s="3">
        <f xml:space="preserve"> nwcz * hvwp</f>
        <v>38</v>
      </c>
      <c r="C1874" s="1"/>
    </row>
    <row r="1875" spans="1:3" ht="17" x14ac:dyDescent="0.25">
      <c r="A1875" s="3" t="s">
        <v>2320</v>
      </c>
      <c r="B1875" s="3">
        <f xml:space="preserve"> jvmf * zltj</f>
        <v>25</v>
      </c>
      <c r="C1875" s="1"/>
    </row>
    <row r="1876" spans="1:3" ht="17" x14ac:dyDescent="0.25">
      <c r="A1876" s="3" t="s">
        <v>2295</v>
      </c>
      <c r="B1876" s="3">
        <f>8</f>
        <v>8</v>
      </c>
      <c r="C1876" s="1"/>
    </row>
    <row r="1877" spans="1:3" ht="17" x14ac:dyDescent="0.25">
      <c r="A1877" s="3" t="s">
        <v>2436</v>
      </c>
      <c r="B1877" s="3">
        <f xml:space="preserve"> mvbv * ndgq</f>
        <v>183</v>
      </c>
      <c r="C1877" s="1"/>
    </row>
    <row r="1878" spans="1:3" ht="17" x14ac:dyDescent="0.25">
      <c r="A1878" s="3" t="s">
        <v>2437</v>
      </c>
      <c r="B1878" s="3">
        <f xml:space="preserve"> hhnt + smnp</f>
        <v>7</v>
      </c>
      <c r="C1878" s="1"/>
    </row>
    <row r="1879" spans="1:3" ht="17" x14ac:dyDescent="0.25">
      <c r="A1879" s="3" t="s">
        <v>2438</v>
      </c>
      <c r="B1879" s="3">
        <f>11</f>
        <v>11</v>
      </c>
      <c r="C1879" s="1"/>
    </row>
    <row r="1880" spans="1:3" ht="17" x14ac:dyDescent="0.25">
      <c r="A1880" s="3" t="s">
        <v>2227</v>
      </c>
      <c r="B1880" s="3">
        <f>2</f>
        <v>2</v>
      </c>
      <c r="C1880" s="1"/>
    </row>
    <row r="1881" spans="1:3" ht="17" x14ac:dyDescent="0.25">
      <c r="A1881" s="3" t="s">
        <v>2439</v>
      </c>
      <c r="B1881" s="3">
        <f>3</f>
        <v>3</v>
      </c>
      <c r="C1881" s="1"/>
    </row>
    <row r="1882" spans="1:3" ht="17" x14ac:dyDescent="0.25">
      <c r="A1882" s="3" t="s">
        <v>2440</v>
      </c>
      <c r="B1882" s="3">
        <f>16</f>
        <v>16</v>
      </c>
      <c r="C1882" s="1"/>
    </row>
    <row r="1883" spans="1:3" ht="17" x14ac:dyDescent="0.25">
      <c r="A1883" s="3" t="s">
        <v>2279</v>
      </c>
      <c r="B1883" s="3">
        <f>3</f>
        <v>3</v>
      </c>
      <c r="C1883" s="1"/>
    </row>
    <row r="1884" spans="1:3" ht="17" x14ac:dyDescent="0.25">
      <c r="A1884" s="3" t="s">
        <v>2441</v>
      </c>
      <c r="B1884" s="3">
        <f>5</f>
        <v>5</v>
      </c>
      <c r="C1884" s="1"/>
    </row>
    <row r="1885" spans="1:3" ht="17" x14ac:dyDescent="0.25">
      <c r="A1885" s="3" t="s">
        <v>2218</v>
      </c>
      <c r="B1885" s="3">
        <f xml:space="preserve"> stpv * mqvq</f>
        <v>34</v>
      </c>
      <c r="C1885" s="1"/>
    </row>
    <row r="1886" spans="1:3" ht="17" x14ac:dyDescent="0.25">
      <c r="A1886" s="3" t="s">
        <v>2443</v>
      </c>
      <c r="B1886" s="3">
        <f>16</f>
        <v>16</v>
      </c>
      <c r="C1886" s="1"/>
    </row>
    <row r="1887" spans="1:3" ht="17" x14ac:dyDescent="0.25">
      <c r="A1887" s="3" t="s">
        <v>438</v>
      </c>
      <c r="B1887" s="3">
        <f>2</f>
        <v>2</v>
      </c>
      <c r="C1887" s="1"/>
    </row>
    <row r="1888" spans="1:3" ht="17" x14ac:dyDescent="0.25">
      <c r="A1888" s="3" t="s">
        <v>1632</v>
      </c>
      <c r="B1888" s="3">
        <f>19</f>
        <v>19</v>
      </c>
      <c r="C1888" s="1"/>
    </row>
    <row r="1889" spans="1:3" ht="17" x14ac:dyDescent="0.25">
      <c r="A1889" s="3" t="s">
        <v>1761</v>
      </c>
      <c r="B1889" s="3">
        <f>4</f>
        <v>4</v>
      </c>
      <c r="C1889" s="1"/>
    </row>
    <row r="1890" spans="1:3" ht="17" x14ac:dyDescent="0.25">
      <c r="A1890" s="3" t="s">
        <v>2444</v>
      </c>
      <c r="B1890" s="3">
        <f xml:space="preserve"> vhbl + tgvf</f>
        <v>34</v>
      </c>
      <c r="C1890" s="1"/>
    </row>
    <row r="1891" spans="1:3" ht="17" x14ac:dyDescent="0.25">
      <c r="A1891" s="3" t="s">
        <v>2040</v>
      </c>
      <c r="B1891" s="3">
        <f>3</f>
        <v>3</v>
      </c>
      <c r="C1891" s="1"/>
    </row>
    <row r="1892" spans="1:3" ht="17" x14ac:dyDescent="0.25">
      <c r="A1892" s="3" t="s">
        <v>2235</v>
      </c>
      <c r="B1892" s="3">
        <f xml:space="preserve"> pbrd * mgws</f>
        <v>22</v>
      </c>
      <c r="C1892" s="1"/>
    </row>
    <row r="1893" spans="1:3" ht="17" x14ac:dyDescent="0.25">
      <c r="A1893" s="3" t="s">
        <v>2445</v>
      </c>
      <c r="B1893" s="3">
        <f xml:space="preserve"> vvgt + qzqz</f>
        <v>14</v>
      </c>
      <c r="C1893" s="1"/>
    </row>
    <row r="1894" spans="1:3" ht="17" x14ac:dyDescent="0.25">
      <c r="A1894" s="3" t="s">
        <v>2115</v>
      </c>
      <c r="B1894" s="3">
        <f xml:space="preserve"> fbrh * vjph</f>
        <v>187</v>
      </c>
      <c r="C1894" s="1"/>
    </row>
    <row r="1895" spans="1:3" ht="17" x14ac:dyDescent="0.25">
      <c r="A1895" s="3" t="s">
        <v>2447</v>
      </c>
      <c r="B1895" s="3">
        <f xml:space="preserve"> bhwv * tfsd</f>
        <v>14</v>
      </c>
      <c r="C1895" s="1"/>
    </row>
    <row r="1896" spans="1:3" ht="17" x14ac:dyDescent="0.25">
      <c r="A1896" s="3" t="s">
        <v>2317</v>
      </c>
      <c r="B1896" s="3">
        <f xml:space="preserve"> trfc + zjdz</f>
        <v>7</v>
      </c>
      <c r="C1896" s="1"/>
    </row>
    <row r="1897" spans="1:3" ht="17" x14ac:dyDescent="0.25">
      <c r="A1897" s="3" t="s">
        <v>1664</v>
      </c>
      <c r="B1897" s="3">
        <f xml:space="preserve"> pjbz + qvql</f>
        <v>2286155429</v>
      </c>
      <c r="C1897" s="1"/>
    </row>
    <row r="1898" spans="1:3" ht="17" x14ac:dyDescent="0.25">
      <c r="A1898" s="3" t="s">
        <v>1779</v>
      </c>
      <c r="B1898" s="3">
        <f xml:space="preserve"> gbtz + zclt</f>
        <v>70207</v>
      </c>
      <c r="C1898" s="1"/>
    </row>
    <row r="1899" spans="1:3" ht="17" x14ac:dyDescent="0.25">
      <c r="A1899" s="3" t="s">
        <v>209</v>
      </c>
      <c r="B1899" s="3">
        <f xml:space="preserve"> sgns + bqvr</f>
        <v>23</v>
      </c>
      <c r="C1899" s="1"/>
    </row>
    <row r="1900" spans="1:3" ht="17" x14ac:dyDescent="0.25">
      <c r="A1900" s="3" t="s">
        <v>1208</v>
      </c>
      <c r="B1900" s="3">
        <f xml:space="preserve"> bhfl * qqnl</f>
        <v>9</v>
      </c>
      <c r="C1900" s="1"/>
    </row>
    <row r="1901" spans="1:3" ht="17" x14ac:dyDescent="0.25">
      <c r="A1901" s="3" t="s">
        <v>2452</v>
      </c>
      <c r="B1901" s="3">
        <f xml:space="preserve"> lgpm * mhch</f>
        <v>6</v>
      </c>
      <c r="C1901" s="1"/>
    </row>
    <row r="1902" spans="1:3" ht="17" x14ac:dyDescent="0.25">
      <c r="A1902" s="3" t="s">
        <v>2453</v>
      </c>
      <c r="B1902" s="3">
        <f>4</f>
        <v>4</v>
      </c>
      <c r="C1902" s="1"/>
    </row>
    <row r="1903" spans="1:3" ht="17" x14ac:dyDescent="0.25">
      <c r="A1903" s="3" t="s">
        <v>1118</v>
      </c>
      <c r="B1903" s="3">
        <f>5</f>
        <v>5</v>
      </c>
      <c r="C1903" s="1"/>
    </row>
    <row r="1904" spans="1:3" ht="17" x14ac:dyDescent="0.25">
      <c r="A1904" s="3" t="s">
        <v>2327</v>
      </c>
      <c r="B1904" s="3">
        <f xml:space="preserve"> dccf + brjv</f>
        <v>7</v>
      </c>
      <c r="C1904" s="1"/>
    </row>
    <row r="1905" spans="1:3" ht="17" x14ac:dyDescent="0.25">
      <c r="A1905" s="3" t="s">
        <v>2455</v>
      </c>
      <c r="B1905" s="3">
        <f xml:space="preserve"> jpqz * mfrr</f>
        <v>8</v>
      </c>
      <c r="C1905" s="1"/>
    </row>
    <row r="1906" spans="1:3" ht="17" x14ac:dyDescent="0.25">
      <c r="A1906" s="3" t="s">
        <v>6</v>
      </c>
      <c r="B1906" s="3">
        <f xml:space="preserve"> ltcn * vjmr</f>
        <v>299</v>
      </c>
      <c r="C1906" s="1"/>
    </row>
    <row r="1907" spans="1:3" ht="17" x14ac:dyDescent="0.25">
      <c r="A1907" s="3" t="s">
        <v>2154</v>
      </c>
      <c r="B1907" s="3">
        <f xml:space="preserve"> rvqw + clpj</f>
        <v>7</v>
      </c>
      <c r="C1907" s="1"/>
    </row>
    <row r="1908" spans="1:3" ht="17" x14ac:dyDescent="0.25">
      <c r="A1908" s="3" t="s">
        <v>143</v>
      </c>
      <c r="B1908" s="3">
        <f xml:space="preserve"> mjzn + jhgp</f>
        <v>7</v>
      </c>
      <c r="C1908" s="1"/>
    </row>
    <row r="1909" spans="1:3" ht="17" x14ac:dyDescent="0.25">
      <c r="A1909" s="3" t="s">
        <v>2067</v>
      </c>
      <c r="B1909" s="3">
        <f xml:space="preserve"> qmrs + gnpz</f>
        <v>7</v>
      </c>
      <c r="C1909" s="1"/>
    </row>
    <row r="1910" spans="1:3" ht="17" x14ac:dyDescent="0.25">
      <c r="A1910" s="3" t="s">
        <v>2103</v>
      </c>
      <c r="B1910" s="3">
        <f xml:space="preserve"> jgfl * wsst</f>
        <v>208</v>
      </c>
      <c r="C1910" s="1"/>
    </row>
    <row r="1911" spans="1:3" ht="17" x14ac:dyDescent="0.25">
      <c r="A1911" s="3" t="s">
        <v>2340</v>
      </c>
      <c r="B1911" s="3">
        <f>5</f>
        <v>5</v>
      </c>
      <c r="C1911" s="1"/>
    </row>
    <row r="1912" spans="1:3" ht="17" x14ac:dyDescent="0.25">
      <c r="A1912" s="3" t="s">
        <v>841</v>
      </c>
      <c r="B1912" s="3">
        <f xml:space="preserve"> fwtg * zwcs</f>
        <v>14</v>
      </c>
      <c r="C1912" s="1"/>
    </row>
    <row r="1913" spans="1:3" ht="17" x14ac:dyDescent="0.25">
      <c r="A1913" s="3" t="s">
        <v>2460</v>
      </c>
      <c r="B1913" s="3">
        <f>4</f>
        <v>4</v>
      </c>
      <c r="C1913" s="1"/>
    </row>
    <row r="1914" spans="1:3" ht="17" x14ac:dyDescent="0.25">
      <c r="A1914" s="3" t="s">
        <v>2181</v>
      </c>
      <c r="B1914" s="3">
        <f xml:space="preserve"> mrst + hjdh</f>
        <v>105</v>
      </c>
      <c r="C1914" s="1"/>
    </row>
    <row r="1915" spans="1:3" ht="17" x14ac:dyDescent="0.25">
      <c r="A1915" s="3" t="s">
        <v>1486</v>
      </c>
      <c r="B1915" s="3">
        <f xml:space="preserve"> fjlv * sjgh</f>
        <v>16</v>
      </c>
      <c r="C1915" s="1"/>
    </row>
    <row r="1916" spans="1:3" ht="17" x14ac:dyDescent="0.25">
      <c r="A1916" s="3" t="s">
        <v>776</v>
      </c>
      <c r="B1916" s="3">
        <f xml:space="preserve"> qlcr / jcjs</f>
        <v>17</v>
      </c>
      <c r="C1916" s="1"/>
    </row>
    <row r="1917" spans="1:3" ht="17" x14ac:dyDescent="0.25">
      <c r="A1917" s="3" t="s">
        <v>1259</v>
      </c>
      <c r="B1917" s="3">
        <f xml:space="preserve"> pftj * cwht</f>
        <v>68173534672434</v>
      </c>
      <c r="C1917" s="1"/>
    </row>
    <row r="1918" spans="1:3" ht="17" x14ac:dyDescent="0.25">
      <c r="A1918" s="3" t="s">
        <v>1859</v>
      </c>
      <c r="B1918" s="3">
        <f xml:space="preserve"> ssbm * flwl</f>
        <v>10</v>
      </c>
      <c r="C1918" s="1"/>
    </row>
    <row r="1919" spans="1:3" ht="17" x14ac:dyDescent="0.25">
      <c r="A1919" s="3" t="s">
        <v>2361</v>
      </c>
      <c r="B1919" s="3">
        <f>2</f>
        <v>2</v>
      </c>
      <c r="C1919" s="1"/>
    </row>
    <row r="1920" spans="1:3" ht="17" x14ac:dyDescent="0.25">
      <c r="A1920" s="3" t="s">
        <v>292</v>
      </c>
      <c r="B1920" s="3">
        <f>10</f>
        <v>10</v>
      </c>
      <c r="C1920" s="1"/>
    </row>
    <row r="1921" spans="1:3" ht="17" x14ac:dyDescent="0.25">
      <c r="A1921" s="3" t="s">
        <v>2384</v>
      </c>
      <c r="B1921" s="3">
        <f>2</f>
        <v>2</v>
      </c>
      <c r="C1921" s="1"/>
    </row>
    <row r="1922" spans="1:3" ht="17" x14ac:dyDescent="0.25">
      <c r="A1922" s="3" t="s">
        <v>2464</v>
      </c>
      <c r="B1922" s="3">
        <f>10</f>
        <v>10</v>
      </c>
      <c r="C1922" s="1"/>
    </row>
    <row r="1923" spans="1:3" ht="17" x14ac:dyDescent="0.25">
      <c r="A1923" s="3" t="s">
        <v>2459</v>
      </c>
      <c r="B1923" s="3">
        <f>4</f>
        <v>4</v>
      </c>
      <c r="C1923" s="1"/>
    </row>
    <row r="1924" spans="1:3" ht="17" x14ac:dyDescent="0.25">
      <c r="A1924" s="3" t="s">
        <v>1232</v>
      </c>
      <c r="B1924" s="3">
        <f>12</f>
        <v>12</v>
      </c>
      <c r="C1924" s="1"/>
    </row>
    <row r="1925" spans="1:3" ht="17" x14ac:dyDescent="0.25">
      <c r="A1925" s="3" t="s">
        <v>2463</v>
      </c>
      <c r="B1925" s="3">
        <f>5</f>
        <v>5</v>
      </c>
      <c r="C1925" s="1"/>
    </row>
    <row r="1926" spans="1:3" ht="17" x14ac:dyDescent="0.25">
      <c r="A1926" s="3" t="s">
        <v>999</v>
      </c>
      <c r="B1926" s="3">
        <f xml:space="preserve"> vbbn + vntq</f>
        <v>167</v>
      </c>
      <c r="C1926" s="1"/>
    </row>
    <row r="1927" spans="1:3" ht="17" x14ac:dyDescent="0.25">
      <c r="A1927" s="3" t="s">
        <v>2128</v>
      </c>
      <c r="B1927" s="3">
        <f xml:space="preserve"> zwcz * wznw</f>
        <v>45</v>
      </c>
      <c r="C1927" s="1"/>
    </row>
    <row r="1928" spans="1:3" ht="17" x14ac:dyDescent="0.25">
      <c r="A1928" s="3" t="s">
        <v>1256</v>
      </c>
      <c r="B1928" s="3">
        <f>3</f>
        <v>3</v>
      </c>
      <c r="C1928" s="1"/>
    </row>
    <row r="1929" spans="1:3" ht="17" x14ac:dyDescent="0.25">
      <c r="A1929" s="3" t="s">
        <v>85</v>
      </c>
      <c r="B1929" s="3">
        <f>3</f>
        <v>3</v>
      </c>
      <c r="C1929" s="1"/>
    </row>
    <row r="1930" spans="1:3" ht="17" x14ac:dyDescent="0.25">
      <c r="A1930" s="3" t="s">
        <v>69</v>
      </c>
      <c r="B1930" s="3">
        <f xml:space="preserve"> bnnw + fsbd</f>
        <v>24</v>
      </c>
      <c r="C1930" s="1"/>
    </row>
    <row r="1931" spans="1:3" ht="17" x14ac:dyDescent="0.25">
      <c r="A1931" s="3" t="s">
        <v>2422</v>
      </c>
      <c r="B1931" s="3">
        <f>2</f>
        <v>2</v>
      </c>
      <c r="C1931" s="1"/>
    </row>
    <row r="1932" spans="1:3" ht="17" x14ac:dyDescent="0.25">
      <c r="A1932" s="3" t="s">
        <v>1148</v>
      </c>
      <c r="B1932" s="3">
        <f>5</f>
        <v>5</v>
      </c>
      <c r="C1932" s="1"/>
    </row>
    <row r="1933" spans="1:3" ht="17" x14ac:dyDescent="0.25">
      <c r="A1933" s="3" t="s">
        <v>676</v>
      </c>
      <c r="B1933" s="3">
        <f>6</f>
        <v>6</v>
      </c>
      <c r="C1933" s="1"/>
    </row>
    <row r="1934" spans="1:3" ht="17" x14ac:dyDescent="0.25">
      <c r="A1934" s="3" t="s">
        <v>1750</v>
      </c>
      <c r="B1934" s="3">
        <f xml:space="preserve"> qqch * mfdn</f>
        <v>1850774</v>
      </c>
      <c r="C1934" s="1"/>
    </row>
    <row r="1935" spans="1:3" ht="17" x14ac:dyDescent="0.25">
      <c r="A1935" s="3" t="s">
        <v>2466</v>
      </c>
      <c r="B1935" s="3">
        <f>2</f>
        <v>2</v>
      </c>
      <c r="C1935" s="1"/>
    </row>
    <row r="1936" spans="1:3" ht="17" x14ac:dyDescent="0.25">
      <c r="A1936" s="3" t="s">
        <v>2037</v>
      </c>
      <c r="B1936" s="3">
        <f>17</f>
        <v>17</v>
      </c>
      <c r="C1936" s="1"/>
    </row>
    <row r="1937" spans="1:3" ht="17" x14ac:dyDescent="0.25">
      <c r="A1937" s="3" t="s">
        <v>1434</v>
      </c>
      <c r="B1937" s="3">
        <f>4</f>
        <v>4</v>
      </c>
      <c r="C1937" s="1"/>
    </row>
    <row r="1938" spans="1:3" ht="17" x14ac:dyDescent="0.25">
      <c r="A1938" s="3" t="s">
        <v>2467</v>
      </c>
      <c r="B1938" s="3">
        <f xml:space="preserve"> pnjv + pvlz</f>
        <v>317</v>
      </c>
      <c r="C1938" s="1"/>
    </row>
    <row r="1939" spans="1:3" ht="17" x14ac:dyDescent="0.25">
      <c r="A1939" s="3" t="s">
        <v>1988</v>
      </c>
      <c r="B1939" s="3">
        <f>2</f>
        <v>2</v>
      </c>
      <c r="C1939" s="1"/>
    </row>
    <row r="1940" spans="1:3" ht="17" x14ac:dyDescent="0.25">
      <c r="A1940" s="3" t="s">
        <v>2199</v>
      </c>
      <c r="B1940" s="3">
        <f xml:space="preserve"> hdvf * wcps</f>
        <v>26</v>
      </c>
      <c r="C1940" s="1"/>
    </row>
    <row r="1941" spans="1:3" ht="17" x14ac:dyDescent="0.25">
      <c r="A1941" s="3" t="s">
        <v>2468</v>
      </c>
      <c r="B1941" s="3">
        <f xml:space="preserve"> bmmc + tbmr</f>
        <v>47</v>
      </c>
      <c r="C1941" s="1"/>
    </row>
    <row r="1942" spans="1:3" ht="17" x14ac:dyDescent="0.25">
      <c r="A1942" s="3" t="s">
        <v>2470</v>
      </c>
      <c r="B1942" s="3">
        <f xml:space="preserve"> mcvf / rdrs</f>
        <v>10226030199641</v>
      </c>
      <c r="C1942" s="1"/>
    </row>
    <row r="1943" spans="1:3" ht="17" x14ac:dyDescent="0.25">
      <c r="A1943" s="3" t="s">
        <v>925</v>
      </c>
      <c r="B1943" s="3">
        <f xml:space="preserve"> jphc * rvlm</f>
        <v>69</v>
      </c>
      <c r="C1943" s="1"/>
    </row>
    <row r="1944" spans="1:3" ht="17" x14ac:dyDescent="0.25">
      <c r="A1944" s="3" t="s">
        <v>2368</v>
      </c>
      <c r="B1944" s="3">
        <f xml:space="preserve"> jjfq + lzwz</f>
        <v>12</v>
      </c>
      <c r="C1944" s="1"/>
    </row>
    <row r="1945" spans="1:3" ht="17" x14ac:dyDescent="0.25">
      <c r="A1945" s="3" t="s">
        <v>618</v>
      </c>
      <c r="B1945" s="3">
        <f xml:space="preserve"> sfvg + jqbn</f>
        <v>109</v>
      </c>
      <c r="C1945" s="1"/>
    </row>
    <row r="1946" spans="1:3" ht="17" x14ac:dyDescent="0.25">
      <c r="A1946" s="3" t="s">
        <v>1282</v>
      </c>
      <c r="B1946" s="3">
        <f xml:space="preserve"> jcbp + fcns</f>
        <v>661</v>
      </c>
      <c r="C1946" s="1"/>
    </row>
    <row r="1947" spans="1:3" ht="17" x14ac:dyDescent="0.25">
      <c r="A1947" s="3" t="s">
        <v>54</v>
      </c>
      <c r="B1947" s="3">
        <f xml:space="preserve"> tjzp + bszn</f>
        <v>38</v>
      </c>
      <c r="C1947" s="1"/>
    </row>
    <row r="1948" spans="1:3" ht="17" x14ac:dyDescent="0.25">
      <c r="A1948" s="3" t="s">
        <v>2046</v>
      </c>
      <c r="B1948" s="3">
        <f>4</f>
        <v>4</v>
      </c>
      <c r="C1948" s="1"/>
    </row>
    <row r="1949" spans="1:3" ht="17" x14ac:dyDescent="0.25">
      <c r="A1949" s="3" t="s">
        <v>2474</v>
      </c>
      <c r="B1949" s="3">
        <f xml:space="preserve"> hpwf * gmhr</f>
        <v>21</v>
      </c>
      <c r="C1949" s="1"/>
    </row>
    <row r="1950" spans="1:3" ht="17" x14ac:dyDescent="0.25">
      <c r="A1950" s="3" t="s">
        <v>1871</v>
      </c>
      <c r="B1950" s="3">
        <f xml:space="preserve"> mqsc / fwsv</f>
        <v>22</v>
      </c>
      <c r="C1950" s="1"/>
    </row>
    <row r="1951" spans="1:3" ht="17" x14ac:dyDescent="0.25">
      <c r="A1951" s="3" t="s">
        <v>1341</v>
      </c>
      <c r="B1951" s="3">
        <f>7</f>
        <v>7</v>
      </c>
      <c r="C1951" s="1"/>
    </row>
    <row r="1952" spans="1:3" ht="17" x14ac:dyDescent="0.25">
      <c r="A1952" s="3" t="s">
        <v>2174</v>
      </c>
      <c r="B1952" s="3">
        <f xml:space="preserve"> vwcj * rpcb</f>
        <v>729</v>
      </c>
      <c r="C1952" s="1"/>
    </row>
    <row r="1953" spans="1:3" ht="17" x14ac:dyDescent="0.25">
      <c r="A1953" s="3" t="s">
        <v>515</v>
      </c>
      <c r="B1953" s="3">
        <f xml:space="preserve"> nvff + mzpw</f>
        <v>19</v>
      </c>
      <c r="C1953" s="1"/>
    </row>
    <row r="1954" spans="1:3" ht="17" x14ac:dyDescent="0.25">
      <c r="A1954" s="3" t="s">
        <v>1056</v>
      </c>
      <c r="B1954" s="3">
        <f xml:space="preserve"> szsj + pdhv</f>
        <v>40904120798706</v>
      </c>
      <c r="C1954" s="1"/>
    </row>
    <row r="1955" spans="1:3" ht="17" x14ac:dyDescent="0.25">
      <c r="A1955" s="3" t="s">
        <v>2047</v>
      </c>
      <c r="B1955" s="3">
        <f xml:space="preserve"> qmwm * cqfp</f>
        <v>28</v>
      </c>
      <c r="C1955" s="1"/>
    </row>
    <row r="1956" spans="1:3" ht="17" x14ac:dyDescent="0.25">
      <c r="A1956" s="3" t="s">
        <v>2413</v>
      </c>
      <c r="B1956" s="3">
        <f>3</f>
        <v>3</v>
      </c>
      <c r="C1956" s="1"/>
    </row>
    <row r="1957" spans="1:3" ht="17" x14ac:dyDescent="0.25">
      <c r="A1957" s="3" t="s">
        <v>2343</v>
      </c>
      <c r="B1957" s="3">
        <f xml:space="preserve"> dprf * twzs</f>
        <v>22</v>
      </c>
      <c r="C1957" s="1"/>
    </row>
    <row r="1958" spans="1:3" ht="17" x14ac:dyDescent="0.25">
      <c r="A1958" s="3" t="s">
        <v>374</v>
      </c>
      <c r="B1958" s="3">
        <f>3</f>
        <v>3</v>
      </c>
      <c r="C1958" s="1"/>
    </row>
    <row r="1959" spans="1:3" ht="17" x14ac:dyDescent="0.25">
      <c r="A1959" s="3" t="s">
        <v>2387</v>
      </c>
      <c r="B1959" s="3">
        <f xml:space="preserve"> qcjd + dvrd</f>
        <v>30</v>
      </c>
      <c r="C1959" s="1"/>
    </row>
    <row r="1960" spans="1:3" ht="17" x14ac:dyDescent="0.25">
      <c r="A1960" s="3" t="s">
        <v>1356</v>
      </c>
      <c r="B1960" s="3">
        <f xml:space="preserve"> wvcp + btgt</f>
        <v>504</v>
      </c>
      <c r="C1960" s="1"/>
    </row>
    <row r="1961" spans="1:3" ht="17" x14ac:dyDescent="0.25">
      <c r="A1961" s="3" t="s">
        <v>2479</v>
      </c>
      <c r="B1961" s="3">
        <f>3</f>
        <v>3</v>
      </c>
      <c r="C1961" s="1"/>
    </row>
    <row r="1962" spans="1:3" ht="17" x14ac:dyDescent="0.25">
      <c r="A1962" s="3" t="s">
        <v>1899</v>
      </c>
      <c r="B1962" s="3">
        <f xml:space="preserve"> tbhd + drzh</f>
        <v>31</v>
      </c>
      <c r="C1962" s="1"/>
    </row>
    <row r="1963" spans="1:3" ht="17" x14ac:dyDescent="0.25">
      <c r="A1963" s="3" t="s">
        <v>2481</v>
      </c>
      <c r="B1963" s="3">
        <f xml:space="preserve"> dnmj + wcbp</f>
        <v>168</v>
      </c>
      <c r="C1963" s="1"/>
    </row>
    <row r="1964" spans="1:3" ht="17" x14ac:dyDescent="0.25">
      <c r="A1964" s="3" t="s">
        <v>1119</v>
      </c>
      <c r="B1964" s="3">
        <f>4</f>
        <v>4</v>
      </c>
      <c r="C1964" s="1"/>
    </row>
    <row r="1965" spans="1:3" ht="17" x14ac:dyDescent="0.25">
      <c r="A1965" s="3" t="s">
        <v>2376</v>
      </c>
      <c r="B1965" s="3">
        <f xml:space="preserve"> qcct + fcdf</f>
        <v>47</v>
      </c>
      <c r="C1965" s="1"/>
    </row>
    <row r="1966" spans="1:3" ht="17" x14ac:dyDescent="0.25">
      <c r="A1966" s="3" t="s">
        <v>630</v>
      </c>
      <c r="B1966" s="3">
        <f xml:space="preserve"> jfhf / dnpj</f>
        <v>397</v>
      </c>
      <c r="C1966" s="1"/>
    </row>
    <row r="1967" spans="1:3" ht="17" x14ac:dyDescent="0.25">
      <c r="A1967" s="3" t="s">
        <v>1467</v>
      </c>
      <c r="B1967" s="3">
        <f xml:space="preserve"> zfrm + hvtr</f>
        <v>22277</v>
      </c>
      <c r="C1967" s="1"/>
    </row>
    <row r="1968" spans="1:3" ht="17" x14ac:dyDescent="0.25">
      <c r="A1968" s="3" t="s">
        <v>2191</v>
      </c>
      <c r="B1968" s="3">
        <f xml:space="preserve"> qrgw + srmg</f>
        <v>139</v>
      </c>
      <c r="C1968" s="1"/>
    </row>
    <row r="1969" spans="1:3" ht="17" x14ac:dyDescent="0.25">
      <c r="A1969" s="3" t="s">
        <v>2484</v>
      </c>
      <c r="B1969" s="3">
        <f xml:space="preserve"> bmnn / jdmc</f>
        <v>19</v>
      </c>
      <c r="C1969" s="1"/>
    </row>
    <row r="1970" spans="1:3" ht="17" x14ac:dyDescent="0.25">
      <c r="A1970" s="3" t="s">
        <v>437</v>
      </c>
      <c r="B1970" s="3">
        <f xml:space="preserve"> mbwc + cqmv</f>
        <v>53023860296294</v>
      </c>
      <c r="C1970" s="1"/>
    </row>
    <row r="1971" spans="1:3" ht="17" x14ac:dyDescent="0.25">
      <c r="A1971" s="3" t="s">
        <v>2487</v>
      </c>
      <c r="B1971" s="3">
        <f xml:space="preserve"> lbbb * wmbh</f>
        <v>230</v>
      </c>
      <c r="C1971" s="1"/>
    </row>
    <row r="1972" spans="1:3" ht="17" x14ac:dyDescent="0.25">
      <c r="A1972" s="3" t="s">
        <v>1222</v>
      </c>
      <c r="B1972" s="3">
        <f xml:space="preserve"> vplb / zlvj</f>
        <v>10</v>
      </c>
      <c r="C1972" s="1"/>
    </row>
    <row r="1973" spans="1:3" ht="17" x14ac:dyDescent="0.25">
      <c r="A1973" s="3" t="s">
        <v>1928</v>
      </c>
      <c r="B1973" s="3">
        <f>1</f>
        <v>1</v>
      </c>
      <c r="C1973" s="1"/>
    </row>
    <row r="1974" spans="1:3" ht="17" x14ac:dyDescent="0.25">
      <c r="A1974" s="3" t="s">
        <v>921</v>
      </c>
      <c r="B1974" s="3">
        <f>4</f>
        <v>4</v>
      </c>
      <c r="C1974" s="1"/>
    </row>
    <row r="1975" spans="1:3" ht="17" x14ac:dyDescent="0.25">
      <c r="A1975" s="3" t="s">
        <v>1747</v>
      </c>
      <c r="B1975" s="3">
        <f>4</f>
        <v>4</v>
      </c>
      <c r="C1975" s="1"/>
    </row>
    <row r="1976" spans="1:3" ht="17" x14ac:dyDescent="0.25">
      <c r="A1976" s="3" t="s">
        <v>2488</v>
      </c>
      <c r="B1976" s="3">
        <f xml:space="preserve"> qcwr * rszd</f>
        <v>25</v>
      </c>
      <c r="C1976" s="1"/>
    </row>
    <row r="1977" spans="1:3" ht="17" x14ac:dyDescent="0.25">
      <c r="A1977" s="3" t="s">
        <v>501</v>
      </c>
      <c r="B1977" s="3">
        <f xml:space="preserve"> zqcn + bmcp</f>
        <v>105</v>
      </c>
      <c r="C1977" s="1"/>
    </row>
    <row r="1978" spans="1:3" ht="17" x14ac:dyDescent="0.25">
      <c r="A1978" s="3" t="s">
        <v>1265</v>
      </c>
      <c r="B1978" s="3">
        <f>8</f>
        <v>8</v>
      </c>
      <c r="C1978" s="1"/>
    </row>
    <row r="1979" spans="1:3" ht="17" x14ac:dyDescent="0.25">
      <c r="A1979" s="3" t="s">
        <v>592</v>
      </c>
      <c r="B1979" s="3">
        <f>3</f>
        <v>3</v>
      </c>
      <c r="C1979" s="1"/>
    </row>
    <row r="1980" spans="1:3" ht="17" x14ac:dyDescent="0.25">
      <c r="A1980" s="3" t="s">
        <v>783</v>
      </c>
      <c r="B1980" s="3">
        <f xml:space="preserve"> vvsm + qwfc</f>
        <v>31</v>
      </c>
      <c r="C1980" s="1"/>
    </row>
    <row r="1981" spans="1:3" ht="17" x14ac:dyDescent="0.25">
      <c r="A1981" s="3" t="s">
        <v>2490</v>
      </c>
      <c r="B1981" s="3">
        <f xml:space="preserve"> tsdg * qvvn</f>
        <v>206</v>
      </c>
      <c r="C1981" s="1"/>
    </row>
    <row r="1982" spans="1:3" ht="17" x14ac:dyDescent="0.25">
      <c r="A1982" s="3" t="s">
        <v>1996</v>
      </c>
      <c r="B1982" s="3">
        <f xml:space="preserve"> sbfb + nlwj</f>
        <v>10</v>
      </c>
      <c r="C1982" s="1"/>
    </row>
    <row r="1983" spans="1:3" ht="17" x14ac:dyDescent="0.25">
      <c r="A1983" s="3" t="s">
        <v>2493</v>
      </c>
      <c r="B1983" s="3">
        <f xml:space="preserve"> hfmg / cdhb</f>
        <v>31</v>
      </c>
      <c r="C1983" s="1"/>
    </row>
    <row r="1984" spans="1:3" ht="17" x14ac:dyDescent="0.25">
      <c r="A1984" s="3" t="s">
        <v>2331</v>
      </c>
      <c r="B1984" s="3">
        <f xml:space="preserve"> vwnc * jddn</f>
        <v>3174203</v>
      </c>
      <c r="C1984" s="1"/>
    </row>
    <row r="1985" spans="1:3" ht="17" x14ac:dyDescent="0.25">
      <c r="A1985" s="3" t="s">
        <v>2198</v>
      </c>
      <c r="B1985" s="3">
        <f xml:space="preserve"> nvmp + ldgd</f>
        <v>11</v>
      </c>
      <c r="C1985" s="1"/>
    </row>
    <row r="1986" spans="1:3" ht="17" x14ac:dyDescent="0.25">
      <c r="A1986" s="3" t="s">
        <v>1794</v>
      </c>
      <c r="B1986" s="3">
        <f xml:space="preserve"> pbmt * gflq</f>
        <v>55</v>
      </c>
      <c r="C1986" s="1"/>
    </row>
    <row r="1987" spans="1:3" ht="17" x14ac:dyDescent="0.25">
      <c r="A1987" s="3" t="s">
        <v>2355</v>
      </c>
      <c r="B1987" s="3">
        <f>2</f>
        <v>2</v>
      </c>
      <c r="C1987" s="1"/>
    </row>
    <row r="1988" spans="1:3" ht="17" x14ac:dyDescent="0.25">
      <c r="A1988" s="3" t="s">
        <v>264</v>
      </c>
      <c r="B1988" s="3">
        <f>5</f>
        <v>5</v>
      </c>
      <c r="C1988" s="1"/>
    </row>
    <row r="1989" spans="1:3" ht="17" x14ac:dyDescent="0.25">
      <c r="A1989" s="3" t="s">
        <v>346</v>
      </c>
      <c r="B1989" s="3">
        <f>13</f>
        <v>13</v>
      </c>
      <c r="C1989" s="1"/>
    </row>
    <row r="1990" spans="1:3" ht="17" x14ac:dyDescent="0.25">
      <c r="A1990" s="3" t="s">
        <v>429</v>
      </c>
      <c r="B1990" s="3">
        <f xml:space="preserve"> mmhg * rppz</f>
        <v>49</v>
      </c>
      <c r="C1990" s="1"/>
    </row>
    <row r="1991" spans="1:3" ht="17" x14ac:dyDescent="0.25">
      <c r="A1991" s="3" t="s">
        <v>74</v>
      </c>
      <c r="B1991" s="3">
        <f>2</f>
        <v>2</v>
      </c>
      <c r="C1991" s="1"/>
    </row>
    <row r="1992" spans="1:3" ht="17" x14ac:dyDescent="0.25">
      <c r="A1992" s="3" t="s">
        <v>1925</v>
      </c>
      <c r="B1992" s="3">
        <f>20</f>
        <v>20</v>
      </c>
      <c r="C1992" s="1"/>
    </row>
    <row r="1993" spans="1:3" ht="17" x14ac:dyDescent="0.25">
      <c r="A1993" s="3" t="s">
        <v>1555</v>
      </c>
      <c r="B1993" s="3">
        <f>2</f>
        <v>2</v>
      </c>
      <c r="C1993" s="1"/>
    </row>
    <row r="1994" spans="1:3" ht="17" x14ac:dyDescent="0.25">
      <c r="A1994" s="3" t="s">
        <v>2496</v>
      </c>
      <c r="B1994" s="3">
        <f>15</f>
        <v>15</v>
      </c>
      <c r="C1994" s="1"/>
    </row>
    <row r="1995" spans="1:3" ht="17" x14ac:dyDescent="0.25">
      <c r="A1995" s="3" t="s">
        <v>336</v>
      </c>
      <c r="B1995" s="3">
        <f xml:space="preserve"> csdt + jnld</f>
        <v>37</v>
      </c>
      <c r="C1995" s="1"/>
    </row>
    <row r="1996" spans="1:3" ht="17" x14ac:dyDescent="0.25">
      <c r="A1996" s="3" t="s">
        <v>190</v>
      </c>
      <c r="B1996" s="3">
        <f xml:space="preserve"> zhqf * btjv</f>
        <v>49</v>
      </c>
      <c r="C1996" s="1"/>
    </row>
    <row r="1997" spans="1:3" ht="17" x14ac:dyDescent="0.25">
      <c r="A1997" s="3" t="s">
        <v>206</v>
      </c>
      <c r="B1997" s="3">
        <f xml:space="preserve"> jnrz * hgcd</f>
        <v>1847313</v>
      </c>
      <c r="C1997" s="1"/>
    </row>
    <row r="1998" spans="1:3" ht="17" x14ac:dyDescent="0.25">
      <c r="A1998" s="3" t="s">
        <v>1187</v>
      </c>
      <c r="B1998" s="3">
        <f xml:space="preserve"> qjsz * lvpl</f>
        <v>17298</v>
      </c>
      <c r="C1998" s="1"/>
    </row>
    <row r="1999" spans="1:3" ht="17" x14ac:dyDescent="0.25">
      <c r="A1999" s="3" t="s">
        <v>444</v>
      </c>
      <c r="B1999" s="3">
        <f xml:space="preserve"> tmhj + gmbw</f>
        <v>271</v>
      </c>
      <c r="C1999" s="1"/>
    </row>
    <row r="2000" spans="1:3" ht="17" x14ac:dyDescent="0.25">
      <c r="A2000" s="3" t="s">
        <v>2400</v>
      </c>
      <c r="B2000" s="3">
        <f>3</f>
        <v>3</v>
      </c>
      <c r="C2000" s="1"/>
    </row>
    <row r="2001" spans="1:3" ht="17" x14ac:dyDescent="0.25">
      <c r="A2001" s="3" t="s">
        <v>2499</v>
      </c>
      <c r="B2001" s="3">
        <f xml:space="preserve"> mnrl / zcbw</f>
        <v>37</v>
      </c>
      <c r="C2001" s="1"/>
    </row>
    <row r="2002" spans="1:3" ht="17" x14ac:dyDescent="0.25">
      <c r="A2002" s="3" t="s">
        <v>721</v>
      </c>
      <c r="B2002" s="3">
        <f xml:space="preserve"> ffcz / wrqd</f>
        <v>21</v>
      </c>
      <c r="C2002" s="1"/>
    </row>
    <row r="2003" spans="1:3" ht="17" x14ac:dyDescent="0.25">
      <c r="A2003" s="3" t="s">
        <v>2501</v>
      </c>
      <c r="B2003" s="3">
        <f xml:space="preserve"> tfpm * cgtg</f>
        <v>493</v>
      </c>
      <c r="C2003" s="1"/>
    </row>
    <row r="2004" spans="1:3" ht="17" x14ac:dyDescent="0.25">
      <c r="A2004" s="3" t="s">
        <v>2204</v>
      </c>
      <c r="B2004" s="3">
        <f>5</f>
        <v>5</v>
      </c>
      <c r="C2004" s="1"/>
    </row>
    <row r="2005" spans="1:3" ht="17" x14ac:dyDescent="0.25">
      <c r="A2005" s="3" t="s">
        <v>1262</v>
      </c>
      <c r="B2005" s="3">
        <f>3</f>
        <v>3</v>
      </c>
      <c r="C2005" s="1"/>
    </row>
    <row r="2006" spans="1:3" ht="17" x14ac:dyDescent="0.25">
      <c r="A2006" s="3" t="s">
        <v>2503</v>
      </c>
      <c r="B2006" s="3">
        <f>2</f>
        <v>2</v>
      </c>
      <c r="C2006" s="1"/>
    </row>
    <row r="2007" spans="1:3" ht="17" x14ac:dyDescent="0.25">
      <c r="A2007" s="3" t="s">
        <v>467</v>
      </c>
      <c r="B2007" s="3">
        <f>3</f>
        <v>3</v>
      </c>
      <c r="C2007" s="1"/>
    </row>
    <row r="2008" spans="1:3" ht="17" x14ac:dyDescent="0.25">
      <c r="A2008" s="3" t="s">
        <v>1680</v>
      </c>
      <c r="B2008" s="3">
        <f>2</f>
        <v>2</v>
      </c>
      <c r="C2008" s="1"/>
    </row>
    <row r="2009" spans="1:3" ht="17" x14ac:dyDescent="0.25">
      <c r="A2009" s="3" t="s">
        <v>76</v>
      </c>
      <c r="B2009" s="3">
        <f>19</f>
        <v>19</v>
      </c>
      <c r="C2009" s="1"/>
    </row>
    <row r="2010" spans="1:3" ht="17" x14ac:dyDescent="0.25">
      <c r="A2010" s="3" t="s">
        <v>2055</v>
      </c>
      <c r="B2010" s="3">
        <f>2</f>
        <v>2</v>
      </c>
      <c r="C2010" s="1"/>
    </row>
    <row r="2011" spans="1:3" ht="17" x14ac:dyDescent="0.25">
      <c r="A2011" s="3" t="s">
        <v>2504</v>
      </c>
      <c r="B2011" s="3">
        <f>4</f>
        <v>4</v>
      </c>
      <c r="C2011" s="1"/>
    </row>
    <row r="2012" spans="1:3" ht="17" x14ac:dyDescent="0.25">
      <c r="A2012" s="3" t="s">
        <v>77</v>
      </c>
      <c r="B2012" s="3">
        <f xml:space="preserve"> bfnc / mhmt</f>
        <v>28</v>
      </c>
      <c r="C2012" s="1"/>
    </row>
    <row r="2013" spans="1:3" ht="17" x14ac:dyDescent="0.25">
      <c r="A2013" s="3" t="s">
        <v>2105</v>
      </c>
      <c r="B2013" s="3">
        <f>11</f>
        <v>11</v>
      </c>
      <c r="C2013" s="1"/>
    </row>
    <row r="2014" spans="1:3" ht="17" x14ac:dyDescent="0.25">
      <c r="A2014" s="3" t="s">
        <v>2505</v>
      </c>
      <c r="B2014" s="3">
        <f>6</f>
        <v>6</v>
      </c>
      <c r="C2014" s="1"/>
    </row>
    <row r="2015" spans="1:3" ht="17" x14ac:dyDescent="0.25">
      <c r="A2015" s="3" t="s">
        <v>2506</v>
      </c>
      <c r="B2015" s="3">
        <f xml:space="preserve"> twbf * vzhj</f>
        <v>46</v>
      </c>
      <c r="C2015" s="1"/>
    </row>
    <row r="2016" spans="1:3" ht="17" x14ac:dyDescent="0.25">
      <c r="A2016" s="3" t="s">
        <v>2509</v>
      </c>
      <c r="B2016" s="3">
        <f xml:space="preserve"> lrnh * sqcc</f>
        <v>620</v>
      </c>
      <c r="C2016" s="1"/>
    </row>
    <row r="2017" spans="1:3" ht="17" x14ac:dyDescent="0.25">
      <c r="A2017" s="3" t="s">
        <v>2323</v>
      </c>
      <c r="B2017" s="3">
        <f>2</f>
        <v>2</v>
      </c>
      <c r="C2017" s="1"/>
    </row>
    <row r="2018" spans="1:3" ht="17" x14ac:dyDescent="0.25">
      <c r="A2018" s="3" t="s">
        <v>1138</v>
      </c>
      <c r="B2018" s="3">
        <f xml:space="preserve"> mrgb + ggvc</f>
        <v>170</v>
      </c>
      <c r="C2018" s="1"/>
    </row>
    <row r="2019" spans="1:3" ht="17" x14ac:dyDescent="0.25">
      <c r="A2019" s="3" t="s">
        <v>2242</v>
      </c>
      <c r="B2019" s="3">
        <f xml:space="preserve"> lwdc + pvgh</f>
        <v>108</v>
      </c>
      <c r="C2019" s="1"/>
    </row>
    <row r="2020" spans="1:3" ht="17" x14ac:dyDescent="0.25">
      <c r="A2020" s="3" t="s">
        <v>1760</v>
      </c>
      <c r="B2020" s="3">
        <f xml:space="preserve"> crdq * fqmr</f>
        <v>21</v>
      </c>
      <c r="C2020" s="1"/>
    </row>
    <row r="2021" spans="1:3" ht="17" x14ac:dyDescent="0.25">
      <c r="A2021" s="3" t="s">
        <v>2420</v>
      </c>
      <c r="B2021" s="3">
        <f xml:space="preserve"> rmgn + zthq</f>
        <v>12361253533</v>
      </c>
      <c r="C2021" s="1"/>
    </row>
    <row r="2022" spans="1:3" ht="17" x14ac:dyDescent="0.25">
      <c r="A2022" s="3" t="s">
        <v>1813</v>
      </c>
      <c r="B2022" s="3">
        <f>2</f>
        <v>2</v>
      </c>
      <c r="C2022" s="1"/>
    </row>
    <row r="2023" spans="1:3" ht="17" x14ac:dyDescent="0.25">
      <c r="A2023" s="3" t="s">
        <v>1985</v>
      </c>
      <c r="B2023" s="3">
        <f xml:space="preserve"> ljqw * dmhg</f>
        <v>22</v>
      </c>
      <c r="C2023" s="1"/>
    </row>
    <row r="2024" spans="1:3" ht="17" x14ac:dyDescent="0.25">
      <c r="A2024" s="3" t="s">
        <v>2511</v>
      </c>
      <c r="B2024" s="3">
        <f>4</f>
        <v>4</v>
      </c>
      <c r="C2024" s="1"/>
    </row>
    <row r="2025" spans="1:3" ht="17" x14ac:dyDescent="0.25">
      <c r="A2025" s="3" t="s">
        <v>2370</v>
      </c>
      <c r="B2025" s="3">
        <f>13</f>
        <v>13</v>
      </c>
      <c r="C2025" s="1"/>
    </row>
    <row r="2026" spans="1:3" ht="17" x14ac:dyDescent="0.25">
      <c r="A2026" s="3" t="s">
        <v>2074</v>
      </c>
      <c r="B2026" s="3">
        <f xml:space="preserve"> llbw * hnfz</f>
        <v>3131</v>
      </c>
      <c r="C2026" s="1"/>
    </row>
    <row r="2027" spans="1:3" ht="17" x14ac:dyDescent="0.25">
      <c r="A2027" s="3" t="s">
        <v>1505</v>
      </c>
      <c r="B2027" s="3">
        <f xml:space="preserve"> gfmb * qwjl</f>
        <v>116</v>
      </c>
      <c r="C2027" s="1"/>
    </row>
    <row r="2028" spans="1:3" ht="17" x14ac:dyDescent="0.25">
      <c r="A2028" s="3" t="s">
        <v>874</v>
      </c>
      <c r="B2028" s="3">
        <f>3</f>
        <v>3</v>
      </c>
      <c r="C2028" s="1"/>
    </row>
    <row r="2029" spans="1:3" ht="17" x14ac:dyDescent="0.25">
      <c r="A2029" s="3" t="s">
        <v>2514</v>
      </c>
      <c r="B2029" s="3">
        <f xml:space="preserve"> pwpp + smbr</f>
        <v>489</v>
      </c>
      <c r="C2029" s="1"/>
    </row>
    <row r="2030" spans="1:3" ht="17" x14ac:dyDescent="0.25">
      <c r="A2030" s="3" t="s">
        <v>1698</v>
      </c>
      <c r="B2030" s="3">
        <f>4</f>
        <v>4</v>
      </c>
      <c r="C2030" s="1"/>
    </row>
    <row r="2031" spans="1:3" ht="17" x14ac:dyDescent="0.25">
      <c r="A2031" s="3" t="s">
        <v>45</v>
      </c>
      <c r="B2031" s="3">
        <f xml:space="preserve"> bvnq * vwvc</f>
        <v>58</v>
      </c>
      <c r="C2031" s="1"/>
    </row>
    <row r="2032" spans="1:3" ht="17" x14ac:dyDescent="0.25">
      <c r="A2032" s="3" t="s">
        <v>712</v>
      </c>
      <c r="B2032" s="3">
        <f xml:space="preserve"> wwgw + ftpg</f>
        <v>22</v>
      </c>
      <c r="C2032" s="1"/>
    </row>
    <row r="2033" spans="1:3" ht="17" x14ac:dyDescent="0.25">
      <c r="A2033" s="3" t="s">
        <v>2517</v>
      </c>
      <c r="B2033" s="3">
        <f>5</f>
        <v>5</v>
      </c>
      <c r="C2033" s="1"/>
    </row>
    <row r="2034" spans="1:3" ht="17" x14ac:dyDescent="0.25">
      <c r="A2034" s="3" t="s">
        <v>1490</v>
      </c>
      <c r="B2034" s="3">
        <f>10</f>
        <v>10</v>
      </c>
      <c r="C2034" s="1"/>
    </row>
    <row r="2035" spans="1:3" ht="17" x14ac:dyDescent="0.25">
      <c r="A2035" s="3" t="s">
        <v>2111</v>
      </c>
      <c r="B2035" s="3">
        <f xml:space="preserve"> gmbg - fbnq</f>
        <v>7</v>
      </c>
      <c r="C2035" s="1"/>
    </row>
    <row r="2036" spans="1:3" ht="17" x14ac:dyDescent="0.25">
      <c r="A2036" s="3" t="s">
        <v>2433</v>
      </c>
      <c r="B2036" s="3">
        <f>2</f>
        <v>2</v>
      </c>
      <c r="C2036" s="1"/>
    </row>
    <row r="2037" spans="1:3" ht="17" x14ac:dyDescent="0.25">
      <c r="A2037" s="3" t="s">
        <v>1181</v>
      </c>
      <c r="B2037" s="3">
        <f xml:space="preserve"> wfqh * tslc</f>
        <v>93</v>
      </c>
      <c r="C2037" s="1"/>
    </row>
    <row r="2038" spans="1:3" ht="17" x14ac:dyDescent="0.25">
      <c r="A2038" s="3" t="s">
        <v>740</v>
      </c>
      <c r="B2038" s="3">
        <f>3</f>
        <v>3</v>
      </c>
      <c r="C2038" s="1"/>
    </row>
    <row r="2039" spans="1:3" ht="17" x14ac:dyDescent="0.25">
      <c r="A2039" s="3" t="s">
        <v>2405</v>
      </c>
      <c r="B2039" s="3">
        <f xml:space="preserve"> fghg - tssr</f>
        <v>32</v>
      </c>
      <c r="C2039" s="1"/>
    </row>
    <row r="2040" spans="1:3" ht="17" x14ac:dyDescent="0.25">
      <c r="A2040" s="3" t="s">
        <v>2518</v>
      </c>
      <c r="B2040" s="3">
        <f xml:space="preserve"> dgdr + gqhq</f>
        <v>9941</v>
      </c>
      <c r="C2040" s="1"/>
    </row>
    <row r="2041" spans="1:3" ht="17" x14ac:dyDescent="0.25">
      <c r="A2041" s="3" t="s">
        <v>796</v>
      </c>
      <c r="B2041" s="3">
        <f xml:space="preserve"> hmbc * tmcp</f>
        <v>106047720591784</v>
      </c>
      <c r="C2041" s="1"/>
    </row>
    <row r="2042" spans="1:3" ht="17" x14ac:dyDescent="0.25">
      <c r="A2042" s="3" t="s">
        <v>2465</v>
      </c>
      <c r="B2042" s="3">
        <f xml:space="preserve"> gqwq * qdtr</f>
        <v>140</v>
      </c>
      <c r="C2042" s="1"/>
    </row>
    <row r="2043" spans="1:3" ht="17" x14ac:dyDescent="0.25">
      <c r="A2043" s="3" t="s">
        <v>1773</v>
      </c>
      <c r="B2043" s="3">
        <f xml:space="preserve"> qgzb + npgd</f>
        <v>11</v>
      </c>
      <c r="C2043" s="1"/>
    </row>
    <row r="2044" spans="1:3" ht="17" x14ac:dyDescent="0.25">
      <c r="A2044" s="3" t="s">
        <v>2183</v>
      </c>
      <c r="B2044" s="3">
        <f>5</f>
        <v>5</v>
      </c>
      <c r="C2044" s="1"/>
    </row>
    <row r="2045" spans="1:3" ht="17" x14ac:dyDescent="0.25">
      <c r="A2045" s="3" t="s">
        <v>2521</v>
      </c>
      <c r="B2045" s="3">
        <f>3</f>
        <v>3</v>
      </c>
      <c r="C2045" s="1"/>
    </row>
    <row r="2046" spans="1:3" ht="17" x14ac:dyDescent="0.25">
      <c r="A2046" s="3" t="s">
        <v>2064</v>
      </c>
      <c r="B2046" s="3">
        <f xml:space="preserve"> tlsr * pnvs</f>
        <v>48</v>
      </c>
      <c r="C2046" s="1"/>
    </row>
    <row r="2047" spans="1:3" ht="17" x14ac:dyDescent="0.25">
      <c r="A2047" s="3" t="s">
        <v>2193</v>
      </c>
      <c r="B2047" s="3">
        <f>1</f>
        <v>1</v>
      </c>
      <c r="C2047" s="1"/>
    </row>
    <row r="2048" spans="1:3" ht="17" x14ac:dyDescent="0.25">
      <c r="A2048" s="3" t="s">
        <v>2522</v>
      </c>
      <c r="B2048" s="3">
        <f>5</f>
        <v>5</v>
      </c>
      <c r="C2048" s="1"/>
    </row>
    <row r="2049" spans="1:3" ht="17" x14ac:dyDescent="0.25">
      <c r="A2049" s="3" t="s">
        <v>945</v>
      </c>
      <c r="B2049" s="3">
        <f>16</f>
        <v>16</v>
      </c>
      <c r="C2049" s="1"/>
    </row>
    <row r="2050" spans="1:3" ht="17" x14ac:dyDescent="0.25">
      <c r="A2050" s="3" t="s">
        <v>354</v>
      </c>
      <c r="B2050" s="3">
        <f xml:space="preserve"> vhth + tgch</f>
        <v>7</v>
      </c>
      <c r="C2050" s="1"/>
    </row>
    <row r="2051" spans="1:3" ht="17" x14ac:dyDescent="0.25">
      <c r="A2051" s="3" t="s">
        <v>2523</v>
      </c>
      <c r="B2051" s="3">
        <f xml:space="preserve"> pzgm * jcjp</f>
        <v>7922</v>
      </c>
      <c r="C2051" s="1"/>
    </row>
    <row r="2052" spans="1:3" ht="17" x14ac:dyDescent="0.25">
      <c r="A2052" s="3" t="s">
        <v>1839</v>
      </c>
      <c r="B2052" s="3">
        <f>4</f>
        <v>4</v>
      </c>
      <c r="C2052" s="1"/>
    </row>
    <row r="2053" spans="1:3" ht="17" x14ac:dyDescent="0.25">
      <c r="A2053" s="3" t="s">
        <v>709</v>
      </c>
      <c r="B2053" s="3">
        <f>3</f>
        <v>3</v>
      </c>
      <c r="C2053" s="1"/>
    </row>
    <row r="2054" spans="1:3" ht="17" x14ac:dyDescent="0.25">
      <c r="A2054" s="3" t="s">
        <v>1967</v>
      </c>
      <c r="B2054" s="3">
        <f>5</f>
        <v>5</v>
      </c>
      <c r="C2054" s="1"/>
    </row>
    <row r="2055" spans="1:3" ht="17" x14ac:dyDescent="0.25">
      <c r="A2055" s="3" t="s">
        <v>1679</v>
      </c>
      <c r="B2055" s="3">
        <f>15</f>
        <v>15</v>
      </c>
      <c r="C2055" s="1"/>
    </row>
    <row r="2056" spans="1:3" ht="17" x14ac:dyDescent="0.25">
      <c r="A2056" s="3" t="s">
        <v>185</v>
      </c>
      <c r="B2056" s="3">
        <f xml:space="preserve"> mltz - zlsb</f>
        <v>41</v>
      </c>
      <c r="C2056" s="1"/>
    </row>
    <row r="2057" spans="1:3" ht="17" x14ac:dyDescent="0.25">
      <c r="A2057" s="3" t="s">
        <v>662</v>
      </c>
      <c r="B2057" s="3">
        <f>5</f>
        <v>5</v>
      </c>
      <c r="C2057" s="1"/>
    </row>
    <row r="2058" spans="1:3" ht="17" x14ac:dyDescent="0.25">
      <c r="A2058" s="3" t="s">
        <v>2525</v>
      </c>
      <c r="B2058" s="3">
        <f>3</f>
        <v>3</v>
      </c>
      <c r="C2058" s="1"/>
    </row>
    <row r="2059" spans="1:3" ht="17" x14ac:dyDescent="0.25">
      <c r="A2059" s="3" t="s">
        <v>2477</v>
      </c>
      <c r="B2059" s="3">
        <f xml:space="preserve"> whtb * dbgg</f>
        <v>40904120798590</v>
      </c>
      <c r="C2059" s="1"/>
    </row>
    <row r="2060" spans="1:3" ht="17" x14ac:dyDescent="0.25">
      <c r="A2060" s="3" t="s">
        <v>1737</v>
      </c>
      <c r="B2060" s="3">
        <f>2</f>
        <v>2</v>
      </c>
      <c r="C2060" s="1"/>
    </row>
    <row r="2061" spans="1:3" ht="17" x14ac:dyDescent="0.25">
      <c r="A2061" s="3" t="s">
        <v>2527</v>
      </c>
      <c r="B2061" s="3">
        <f xml:space="preserve"> pcpr * qjjz</f>
        <v>6</v>
      </c>
      <c r="C2061" s="1"/>
    </row>
    <row r="2062" spans="1:3" ht="17" x14ac:dyDescent="0.25">
      <c r="A2062" s="3" t="s">
        <v>2529</v>
      </c>
      <c r="B2062" s="3">
        <f xml:space="preserve"> crjp * tfdm</f>
        <v>24</v>
      </c>
      <c r="C2062" s="1"/>
    </row>
    <row r="2063" spans="1:3" ht="17" x14ac:dyDescent="0.25">
      <c r="A2063" s="3" t="s">
        <v>2531</v>
      </c>
      <c r="B2063" s="3">
        <f xml:space="preserve"> tsjb * rght</f>
        <v>27</v>
      </c>
      <c r="C2063" s="1"/>
    </row>
    <row r="2064" spans="1:3" ht="17" x14ac:dyDescent="0.25">
      <c r="A2064" s="3" t="s">
        <v>2533</v>
      </c>
      <c r="B2064" s="3">
        <f xml:space="preserve"> rhnf * sflq</f>
        <v>508</v>
      </c>
      <c r="C2064" s="1"/>
    </row>
    <row r="2065" spans="1:3" ht="17" x14ac:dyDescent="0.25">
      <c r="A2065" s="3" t="s">
        <v>2475</v>
      </c>
      <c r="B2065" s="3">
        <f>7</f>
        <v>7</v>
      </c>
      <c r="C2065" s="1"/>
    </row>
    <row r="2066" spans="1:3" ht="17" x14ac:dyDescent="0.25">
      <c r="A2066" s="3" t="s">
        <v>1663</v>
      </c>
      <c r="B2066" s="3">
        <f>5</f>
        <v>5</v>
      </c>
      <c r="C2066" s="1"/>
    </row>
    <row r="2067" spans="1:3" ht="17" x14ac:dyDescent="0.25">
      <c r="A2067" s="3" t="s">
        <v>2534</v>
      </c>
      <c r="B2067" s="3">
        <f xml:space="preserve"> jdgm + lzvn</f>
        <v>11</v>
      </c>
      <c r="C2067" s="1"/>
    </row>
    <row r="2068" spans="1:3" ht="17" x14ac:dyDescent="0.25">
      <c r="A2068" s="3" t="s">
        <v>2239</v>
      </c>
      <c r="B2068" s="3">
        <f xml:space="preserve"> dlzq * lvcn</f>
        <v>27</v>
      </c>
      <c r="C2068" s="1"/>
    </row>
    <row r="2069" spans="1:3" ht="17" x14ac:dyDescent="0.25">
      <c r="A2069" s="3" t="s">
        <v>1607</v>
      </c>
      <c r="B2069" s="3">
        <f xml:space="preserve"> cpfw * zqfs</f>
        <v>6</v>
      </c>
      <c r="C2069" s="1"/>
    </row>
    <row r="2070" spans="1:3" ht="17" x14ac:dyDescent="0.25">
      <c r="A2070" s="3" t="s">
        <v>2536</v>
      </c>
      <c r="B2070" s="3">
        <f>2</f>
        <v>2</v>
      </c>
      <c r="C2070" s="1"/>
    </row>
    <row r="2071" spans="1:3" ht="17" x14ac:dyDescent="0.25">
      <c r="A2071" s="3" t="s">
        <v>2461</v>
      </c>
      <c r="B2071" s="3">
        <f xml:space="preserve"> jrrn * rprh</f>
        <v>21</v>
      </c>
      <c r="C2071" s="1"/>
    </row>
    <row r="2072" spans="1:3" ht="17" x14ac:dyDescent="0.25">
      <c r="A2072" s="3" t="s">
        <v>1692</v>
      </c>
      <c r="B2072" s="3">
        <f xml:space="preserve"> rfwp * hcsr</f>
        <v>6</v>
      </c>
      <c r="C2072" s="1"/>
    </row>
    <row r="2073" spans="1:3" ht="17" x14ac:dyDescent="0.25">
      <c r="A2073" s="3" t="s">
        <v>2538</v>
      </c>
      <c r="B2073" s="3">
        <f xml:space="preserve"> tbdp * hzsg</f>
        <v>371</v>
      </c>
      <c r="C2073" s="1"/>
    </row>
    <row r="2074" spans="1:3" ht="17" x14ac:dyDescent="0.25">
      <c r="A2074" s="3" t="s">
        <v>2159</v>
      </c>
      <c r="B2074" s="3">
        <f xml:space="preserve"> gjgw / zdnr</f>
        <v>20452060399801</v>
      </c>
      <c r="C2074" s="1"/>
    </row>
    <row r="2075" spans="1:3" ht="17" x14ac:dyDescent="0.25">
      <c r="A2075" s="3" t="s">
        <v>2287</v>
      </c>
      <c r="B2075" s="3">
        <f xml:space="preserve"> tlfp * jrfb</f>
        <v>5404</v>
      </c>
      <c r="C2075" s="1"/>
    </row>
    <row r="2076" spans="1:3" ht="17" x14ac:dyDescent="0.25">
      <c r="A2076" s="3" t="s">
        <v>1926</v>
      </c>
      <c r="B2076" s="3">
        <f xml:space="preserve"> rbzj * jvzn</f>
        <v>28</v>
      </c>
      <c r="C2076" s="1"/>
    </row>
    <row r="2077" spans="1:3" ht="17" x14ac:dyDescent="0.25">
      <c r="A2077" s="3" t="s">
        <v>2003</v>
      </c>
      <c r="B2077" s="3">
        <f xml:space="preserve"> sbwb + twjf</f>
        <v>18</v>
      </c>
      <c r="C2077" s="1"/>
    </row>
    <row r="2078" spans="1:3" ht="17" x14ac:dyDescent="0.25">
      <c r="A2078" s="3" t="s">
        <v>2458</v>
      </c>
      <c r="B2078" s="3">
        <f>1</f>
        <v>1</v>
      </c>
      <c r="C2078" s="1"/>
    </row>
    <row r="2079" spans="1:3" ht="17" x14ac:dyDescent="0.25">
      <c r="A2079" s="3" t="s">
        <v>1279</v>
      </c>
      <c r="B2079" s="3">
        <f>16</f>
        <v>16</v>
      </c>
      <c r="C2079" s="1"/>
    </row>
    <row r="2080" spans="1:3" ht="17" x14ac:dyDescent="0.25">
      <c r="A2080" s="3" t="s">
        <v>1180</v>
      </c>
      <c r="B2080" s="3">
        <f>3</f>
        <v>3</v>
      </c>
      <c r="C2080" s="1"/>
    </row>
    <row r="2081" spans="1:3" ht="17" x14ac:dyDescent="0.25">
      <c r="A2081" s="3" t="s">
        <v>2434</v>
      </c>
      <c r="B2081" s="3">
        <f>5</f>
        <v>5</v>
      </c>
      <c r="C2081" s="1"/>
    </row>
    <row r="2082" spans="1:3" ht="17" x14ac:dyDescent="0.25">
      <c r="A2082" s="3" t="s">
        <v>1251</v>
      </c>
      <c r="B2082" s="3">
        <f xml:space="preserve"> drqv * vdps</f>
        <v>30</v>
      </c>
      <c r="C2082" s="1"/>
    </row>
    <row r="2083" spans="1:3" ht="17" x14ac:dyDescent="0.25">
      <c r="A2083" s="3" t="s">
        <v>2542</v>
      </c>
      <c r="B2083" s="3">
        <f xml:space="preserve"> trzt + gdsz</f>
        <v>9</v>
      </c>
      <c r="C2083" s="1"/>
    </row>
    <row r="2084" spans="1:3" ht="17" x14ac:dyDescent="0.25">
      <c r="A2084" s="3" t="s">
        <v>2214</v>
      </c>
      <c r="B2084" s="3">
        <f xml:space="preserve"> prmp - sqsc</f>
        <v>19</v>
      </c>
      <c r="C2084" s="1"/>
    </row>
    <row r="2085" spans="1:3" ht="17" x14ac:dyDescent="0.25">
      <c r="A2085" s="3" t="s">
        <v>1397</v>
      </c>
      <c r="B2085" s="3">
        <f xml:space="preserve"> rhds + nwdn</f>
        <v>149</v>
      </c>
      <c r="C2085" s="1"/>
    </row>
    <row r="2086" spans="1:3" ht="17" x14ac:dyDescent="0.25">
      <c r="A2086" s="3" t="s">
        <v>2127</v>
      </c>
      <c r="B2086" s="3">
        <f>2</f>
        <v>2</v>
      </c>
      <c r="C2086" s="1"/>
    </row>
    <row r="2087" spans="1:3" ht="17" x14ac:dyDescent="0.25">
      <c r="A2087" s="3" t="s">
        <v>1</v>
      </c>
      <c r="B2087" s="3">
        <f>3</f>
        <v>3</v>
      </c>
      <c r="C2087" s="1"/>
    </row>
    <row r="2088" spans="1:3" ht="17" x14ac:dyDescent="0.25">
      <c r="A2088" s="3" t="s">
        <v>2237</v>
      </c>
      <c r="B2088" s="3">
        <f>5</f>
        <v>5</v>
      </c>
      <c r="C2088" s="1"/>
    </row>
    <row r="2089" spans="1:3" ht="17" x14ac:dyDescent="0.25">
      <c r="A2089" s="3" t="s">
        <v>1676</v>
      </c>
      <c r="B2089" s="3">
        <f>11</f>
        <v>11</v>
      </c>
      <c r="C2089" s="1"/>
    </row>
    <row r="2090" spans="1:3" ht="17" x14ac:dyDescent="0.25">
      <c r="A2090" s="3" t="s">
        <v>2544</v>
      </c>
      <c r="B2090" s="3">
        <f>10</f>
        <v>10</v>
      </c>
      <c r="C2090" s="1"/>
    </row>
    <row r="2091" spans="1:3" ht="17" x14ac:dyDescent="0.25">
      <c r="A2091" s="3" t="s">
        <v>2545</v>
      </c>
      <c r="B2091" s="3">
        <f>2</f>
        <v>2</v>
      </c>
      <c r="C2091" s="1"/>
    </row>
    <row r="2092" spans="1:3" ht="17" x14ac:dyDescent="0.25">
      <c r="A2092" s="3" t="s">
        <v>729</v>
      </c>
      <c r="B2092" s="3">
        <f>2</f>
        <v>2</v>
      </c>
      <c r="C2092" s="1"/>
    </row>
    <row r="2093" spans="1:3" ht="17" x14ac:dyDescent="0.25">
      <c r="A2093" s="3" t="s">
        <v>1887</v>
      </c>
      <c r="B2093" s="3">
        <f xml:space="preserve"> mpbg - fhzl</f>
        <v>13</v>
      </c>
      <c r="C2093" s="1"/>
    </row>
    <row r="2094" spans="1:3" ht="17" x14ac:dyDescent="0.25">
      <c r="A2094" s="3" t="s">
        <v>2498</v>
      </c>
      <c r="B2094" s="3">
        <f xml:space="preserve"> wvdg - pzwn</f>
        <v>62</v>
      </c>
      <c r="C2094" s="1"/>
    </row>
    <row r="2095" spans="1:3" ht="17" x14ac:dyDescent="0.25">
      <c r="A2095" s="3" t="s">
        <v>2401</v>
      </c>
      <c r="B2095" s="3">
        <f>6</f>
        <v>6</v>
      </c>
      <c r="C2095" s="1"/>
    </row>
    <row r="2096" spans="1:3" ht="17" x14ac:dyDescent="0.25">
      <c r="A2096" s="3" t="s">
        <v>2547</v>
      </c>
      <c r="B2096" s="3">
        <f>1</f>
        <v>1</v>
      </c>
      <c r="C2096" s="1"/>
    </row>
    <row r="2097" spans="1:3" ht="17" x14ac:dyDescent="0.25">
      <c r="A2097" s="3" t="s">
        <v>2225</v>
      </c>
      <c r="B2097" s="3">
        <f>4</f>
        <v>4</v>
      </c>
      <c r="C2097" s="1"/>
    </row>
    <row r="2098" spans="1:3" ht="17" x14ac:dyDescent="0.25">
      <c r="A2098" s="3" t="s">
        <v>1776</v>
      </c>
      <c r="B2098" s="3">
        <f>4</f>
        <v>4</v>
      </c>
      <c r="C2098" s="1"/>
    </row>
    <row r="2099" spans="1:3" ht="17" x14ac:dyDescent="0.25">
      <c r="A2099" s="3" t="s">
        <v>2530</v>
      </c>
      <c r="B2099" s="3">
        <f>3</f>
        <v>3</v>
      </c>
      <c r="C2099" s="1"/>
    </row>
    <row r="2100" spans="1:3" ht="17" x14ac:dyDescent="0.25">
      <c r="A2100" s="3" t="s">
        <v>905</v>
      </c>
      <c r="B2100" s="3">
        <f>3</f>
        <v>3</v>
      </c>
      <c r="C2100" s="1"/>
    </row>
    <row r="2101" spans="1:3" ht="17" x14ac:dyDescent="0.25">
      <c r="A2101" s="3" t="s">
        <v>2548</v>
      </c>
      <c r="B2101" s="3">
        <f xml:space="preserve"> rfmr * bwll</f>
        <v>21</v>
      </c>
      <c r="C2101" s="1"/>
    </row>
    <row r="2102" spans="1:3" ht="17" x14ac:dyDescent="0.25">
      <c r="A2102" s="3" t="s">
        <v>2549</v>
      </c>
      <c r="B2102" s="3">
        <f>1</f>
        <v>1</v>
      </c>
      <c r="C2102" s="1"/>
    </row>
    <row r="2103" spans="1:3" ht="17" x14ac:dyDescent="0.25">
      <c r="A2103" s="3" t="s">
        <v>1540</v>
      </c>
      <c r="B2103" s="3">
        <f xml:space="preserve"> cvjl * ftpd</f>
        <v>121</v>
      </c>
      <c r="C2103" s="1"/>
    </row>
    <row r="2104" spans="1:3" ht="17" x14ac:dyDescent="0.25">
      <c r="A2104" s="3" t="s">
        <v>2177</v>
      </c>
      <c r="B2104" s="3">
        <f xml:space="preserve"> stcw * hbvd</f>
        <v>70</v>
      </c>
      <c r="C2104" s="1"/>
    </row>
    <row r="2105" spans="1:3" ht="17" x14ac:dyDescent="0.25">
      <c r="A2105" s="3" t="s">
        <v>1496</v>
      </c>
      <c r="B2105" s="3">
        <f xml:space="preserve"> bshs - cgzs</f>
        <v>61</v>
      </c>
      <c r="C2105" s="1"/>
    </row>
    <row r="2106" spans="1:3" ht="17" x14ac:dyDescent="0.25">
      <c r="A2106" s="3" t="s">
        <v>609</v>
      </c>
      <c r="B2106" s="3">
        <f xml:space="preserve"> fgqw + gbqz</f>
        <v>307</v>
      </c>
      <c r="C2106" s="1"/>
    </row>
    <row r="2107" spans="1:3" ht="17" x14ac:dyDescent="0.25">
      <c r="A2107" s="3" t="s">
        <v>2553</v>
      </c>
      <c r="B2107" s="3">
        <f xml:space="preserve"> jswp - fqbn</f>
        <v>1050</v>
      </c>
      <c r="C2107" s="1"/>
    </row>
    <row r="2108" spans="1:3" ht="17" x14ac:dyDescent="0.25">
      <c r="A2108" s="3" t="s">
        <v>2486</v>
      </c>
      <c r="B2108" s="3">
        <f xml:space="preserve"> tpmz + stsc</f>
        <v>53023860296111</v>
      </c>
      <c r="C2108" s="1"/>
    </row>
    <row r="2109" spans="1:3" ht="17" x14ac:dyDescent="0.25">
      <c r="A2109" s="3" t="s">
        <v>1447</v>
      </c>
      <c r="B2109" s="3">
        <f xml:space="preserve"> qghq * qjcz</f>
        <v>38</v>
      </c>
      <c r="C2109" s="1"/>
    </row>
    <row r="2110" spans="1:3" ht="17" x14ac:dyDescent="0.25">
      <c r="A2110" s="3" t="s">
        <v>163</v>
      </c>
      <c r="B2110" s="3">
        <f xml:space="preserve"> hqnz / zmlm</f>
        <v>155</v>
      </c>
      <c r="C2110" s="1"/>
    </row>
    <row r="2111" spans="1:3" ht="17" x14ac:dyDescent="0.25">
      <c r="A2111" s="3" t="s">
        <v>1221</v>
      </c>
      <c r="B2111" s="3">
        <f xml:space="preserve"> vpjz * zsvn</f>
        <v>49</v>
      </c>
      <c r="C2111" s="1"/>
    </row>
    <row r="2112" spans="1:3" ht="17" x14ac:dyDescent="0.25">
      <c r="A2112" s="3" t="s">
        <v>1309</v>
      </c>
      <c r="B2112" s="3">
        <f xml:space="preserve"> fdzp - hzsh</f>
        <v>89</v>
      </c>
      <c r="C2112" s="1"/>
    </row>
    <row r="2113" spans="1:3" ht="17" x14ac:dyDescent="0.25">
      <c r="A2113" s="3" t="s">
        <v>509</v>
      </c>
      <c r="B2113" s="3">
        <f>3</f>
        <v>3</v>
      </c>
      <c r="C2113" s="1"/>
    </row>
    <row r="2114" spans="1:3" ht="17" x14ac:dyDescent="0.25">
      <c r="A2114" s="3" t="s">
        <v>471</v>
      </c>
      <c r="B2114" s="3">
        <f xml:space="preserve"> mchz * tvrj</f>
        <v>86</v>
      </c>
      <c r="C2114" s="1"/>
    </row>
    <row r="2115" spans="1:3" ht="17" x14ac:dyDescent="0.25">
      <c r="A2115" s="3" t="s">
        <v>1915</v>
      </c>
      <c r="B2115" s="3">
        <f>2</f>
        <v>2</v>
      </c>
      <c r="C2115" s="1"/>
    </row>
    <row r="2116" spans="1:3" ht="17" x14ac:dyDescent="0.25">
      <c r="A2116" s="3" t="s">
        <v>2261</v>
      </c>
      <c r="B2116" s="3">
        <f>3</f>
        <v>3</v>
      </c>
      <c r="C2116" s="1"/>
    </row>
    <row r="2117" spans="1:3" ht="17" x14ac:dyDescent="0.25">
      <c r="A2117" s="3" t="s">
        <v>2042</v>
      </c>
      <c r="B2117" s="3">
        <f>2</f>
        <v>2</v>
      </c>
      <c r="C2117" s="1"/>
    </row>
    <row r="2118" spans="1:3" ht="17" x14ac:dyDescent="0.25">
      <c r="A2118" s="3" t="s">
        <v>2456</v>
      </c>
      <c r="B2118" s="3">
        <f>4</f>
        <v>4</v>
      </c>
      <c r="C2118" s="1"/>
    </row>
    <row r="2119" spans="1:3" ht="17" x14ac:dyDescent="0.25">
      <c r="A2119" s="3" t="s">
        <v>2558</v>
      </c>
      <c r="B2119" s="3">
        <f>3</f>
        <v>3</v>
      </c>
      <c r="C2119" s="1"/>
    </row>
    <row r="2120" spans="1:3" ht="17" x14ac:dyDescent="0.25">
      <c r="A2120" s="3" t="s">
        <v>2216</v>
      </c>
      <c r="B2120" s="3">
        <f xml:space="preserve"> prdc * hgcp</f>
        <v>890</v>
      </c>
      <c r="C2120" s="1"/>
    </row>
    <row r="2121" spans="1:3" ht="17" x14ac:dyDescent="0.25">
      <c r="A2121" s="3" t="s">
        <v>2450</v>
      </c>
      <c r="B2121" s="3">
        <f>3</f>
        <v>3</v>
      </c>
      <c r="C2121" s="1"/>
    </row>
    <row r="2122" spans="1:3" ht="17" x14ac:dyDescent="0.25">
      <c r="A2122" s="3" t="s">
        <v>2560</v>
      </c>
      <c r="B2122" s="3">
        <f xml:space="preserve"> qzcq * hrnf</f>
        <v>42</v>
      </c>
      <c r="C2122" s="1"/>
    </row>
    <row r="2123" spans="1:3" ht="17" x14ac:dyDescent="0.25">
      <c r="A2123" s="3" t="s">
        <v>1094</v>
      </c>
      <c r="B2123" s="3">
        <f>2</f>
        <v>2</v>
      </c>
      <c r="C2123" s="1"/>
    </row>
    <row r="2124" spans="1:3" ht="17" x14ac:dyDescent="0.25">
      <c r="A2124" s="3" t="s">
        <v>1375</v>
      </c>
      <c r="B2124" s="3">
        <f xml:space="preserve"> zljs + bjbd</f>
        <v>22</v>
      </c>
      <c r="C2124" s="1"/>
    </row>
    <row r="2125" spans="1:3" ht="17" x14ac:dyDescent="0.25">
      <c r="A2125" s="3" t="s">
        <v>2562</v>
      </c>
      <c r="B2125" s="3">
        <f xml:space="preserve"> jnhj * wlwv</f>
        <v>22</v>
      </c>
      <c r="C2125" s="1"/>
    </row>
    <row r="2126" spans="1:3" ht="17" x14ac:dyDescent="0.25">
      <c r="A2126" s="3" t="s">
        <v>2457</v>
      </c>
      <c r="B2126" s="3">
        <f xml:space="preserve"> tchh / jcnn</f>
        <v>23</v>
      </c>
      <c r="C2126" s="1"/>
    </row>
    <row r="2127" spans="1:3" ht="17" x14ac:dyDescent="0.25">
      <c r="A2127" s="3" t="s">
        <v>1071</v>
      </c>
      <c r="B2127" s="3">
        <f xml:space="preserve"> ttcs + jmvc</f>
        <v>19</v>
      </c>
      <c r="C2127" s="1"/>
    </row>
    <row r="2128" spans="1:3" ht="17" x14ac:dyDescent="0.25">
      <c r="A2128" s="3" t="s">
        <v>1772</v>
      </c>
      <c r="B2128" s="3">
        <f>2</f>
        <v>2</v>
      </c>
      <c r="C2128" s="1"/>
    </row>
    <row r="2129" spans="1:3" ht="17" x14ac:dyDescent="0.25">
      <c r="A2129" s="3" t="s">
        <v>2169</v>
      </c>
      <c r="B2129" s="3">
        <f>2</f>
        <v>2</v>
      </c>
      <c r="C2129" s="1"/>
    </row>
    <row r="2130" spans="1:3" ht="17" x14ac:dyDescent="0.25">
      <c r="A2130" s="3" t="s">
        <v>2564</v>
      </c>
      <c r="B2130" s="3">
        <f xml:space="preserve"> tzmm * vndh</f>
        <v>9</v>
      </c>
      <c r="C2130" s="1"/>
    </row>
    <row r="2131" spans="1:3" ht="17" x14ac:dyDescent="0.25">
      <c r="A2131" s="3" t="s">
        <v>1944</v>
      </c>
      <c r="B2131" s="3">
        <f xml:space="preserve"> lgln * qwvl</f>
        <v>64</v>
      </c>
      <c r="C2131" s="1"/>
    </row>
    <row r="2132" spans="1:3" ht="17" x14ac:dyDescent="0.25">
      <c r="A2132" s="3" t="s">
        <v>1072</v>
      </c>
      <c r="B2132" s="3">
        <f>4</f>
        <v>4</v>
      </c>
      <c r="C2132" s="1"/>
    </row>
    <row r="2133" spans="1:3" ht="17" x14ac:dyDescent="0.25">
      <c r="A2133" s="3" t="s">
        <v>1942</v>
      </c>
      <c r="B2133" s="3">
        <f xml:space="preserve"> ffcn + fmjb</f>
        <v>71</v>
      </c>
      <c r="C2133" s="1"/>
    </row>
    <row r="2134" spans="1:3" ht="17" x14ac:dyDescent="0.25">
      <c r="A2134" s="3" t="s">
        <v>1233</v>
      </c>
      <c r="B2134" s="3">
        <f xml:space="preserve"> pvnt + hpmn</f>
        <v>33</v>
      </c>
      <c r="C2134" s="1"/>
    </row>
    <row r="2135" spans="1:3" ht="17" x14ac:dyDescent="0.25">
      <c r="A2135" s="3" t="s">
        <v>2412</v>
      </c>
      <c r="B2135" s="3">
        <f>12</f>
        <v>12</v>
      </c>
      <c r="C2135" s="1"/>
    </row>
    <row r="2136" spans="1:3" ht="17" x14ac:dyDescent="0.25">
      <c r="A2136" s="3" t="s">
        <v>2366</v>
      </c>
      <c r="B2136" s="3">
        <f>2</f>
        <v>2</v>
      </c>
      <c r="C2136" s="1"/>
    </row>
    <row r="2137" spans="1:3" ht="17" x14ac:dyDescent="0.25">
      <c r="A2137" s="3" t="s">
        <v>2415</v>
      </c>
      <c r="B2137" s="3">
        <f xml:space="preserve"> nbmz * pplv</f>
        <v>667</v>
      </c>
      <c r="C2137" s="1"/>
    </row>
    <row r="2138" spans="1:3" ht="17" x14ac:dyDescent="0.25">
      <c r="A2138" s="3" t="s">
        <v>432</v>
      </c>
      <c r="B2138" s="3">
        <f xml:space="preserve"> qwpb - nzjh</f>
        <v>983</v>
      </c>
      <c r="C2138" s="1"/>
    </row>
    <row r="2139" spans="1:3" ht="17" x14ac:dyDescent="0.25">
      <c r="A2139" s="3" t="s">
        <v>405</v>
      </c>
      <c r="B2139" s="3">
        <f xml:space="preserve"> bhbm * lmcn</f>
        <v>10</v>
      </c>
      <c r="C2139" s="1"/>
    </row>
    <row r="2140" spans="1:3" ht="17" x14ac:dyDescent="0.25">
      <c r="A2140" s="3" t="s">
        <v>1875</v>
      </c>
      <c r="B2140" s="3">
        <f xml:space="preserve"> ctth * wvsj</f>
        <v>21</v>
      </c>
      <c r="C2140" s="1"/>
    </row>
    <row r="2141" spans="1:3" ht="17" x14ac:dyDescent="0.25">
      <c r="A2141" s="3" t="s">
        <v>2325</v>
      </c>
      <c r="B2141" s="3">
        <f>2</f>
        <v>2</v>
      </c>
      <c r="C2141" s="1"/>
    </row>
    <row r="2142" spans="1:3" ht="17" x14ac:dyDescent="0.25">
      <c r="A2142" s="3" t="s">
        <v>1917</v>
      </c>
      <c r="B2142" s="3">
        <f>4</f>
        <v>4</v>
      </c>
      <c r="C2142" s="1"/>
    </row>
    <row r="2143" spans="1:3" ht="17" x14ac:dyDescent="0.25">
      <c r="A2143" s="3" t="s">
        <v>2394</v>
      </c>
      <c r="B2143" s="3">
        <f xml:space="preserve"> hctp / cgrh</f>
        <v>47</v>
      </c>
      <c r="C2143" s="1"/>
    </row>
    <row r="2144" spans="1:3" ht="17" x14ac:dyDescent="0.25">
      <c r="A2144" s="3" t="s">
        <v>319</v>
      </c>
      <c r="B2144" s="3">
        <f>3</f>
        <v>3</v>
      </c>
      <c r="C2144" s="1"/>
    </row>
    <row r="2145" spans="1:3" ht="17" x14ac:dyDescent="0.25">
      <c r="A2145" s="3" t="s">
        <v>184</v>
      </c>
      <c r="B2145" s="3">
        <f>5</f>
        <v>5</v>
      </c>
      <c r="C2145" s="1"/>
    </row>
    <row r="2146" spans="1:3" ht="17" x14ac:dyDescent="0.25">
      <c r="A2146" s="3" t="s">
        <v>960</v>
      </c>
      <c r="B2146" s="3">
        <f xml:space="preserve"> mpch * plgj</f>
        <v>40</v>
      </c>
      <c r="C2146" s="1"/>
    </row>
    <row r="2147" spans="1:3" ht="17" x14ac:dyDescent="0.25">
      <c r="A2147" s="3" t="s">
        <v>1744</v>
      </c>
      <c r="B2147" s="3">
        <f>2</f>
        <v>2</v>
      </c>
      <c r="C2147" s="1"/>
    </row>
    <row r="2148" spans="1:3" ht="17" x14ac:dyDescent="0.25">
      <c r="A2148" s="3" t="s">
        <v>2572</v>
      </c>
      <c r="B2148" s="3">
        <f>2</f>
        <v>2</v>
      </c>
      <c r="C2148" s="1"/>
    </row>
    <row r="2149" spans="1:3" ht="17" x14ac:dyDescent="0.25">
      <c r="A2149" s="3" t="s">
        <v>1913</v>
      </c>
      <c r="B2149" s="3">
        <f xml:space="preserve"> hchn + cpvd</f>
        <v>20</v>
      </c>
      <c r="C2149" s="1"/>
    </row>
    <row r="2150" spans="1:3" ht="17" x14ac:dyDescent="0.25">
      <c r="A2150" s="3" t="s">
        <v>500</v>
      </c>
      <c r="B2150" s="3">
        <f xml:space="preserve"> wjhj + gvht</f>
        <v>647</v>
      </c>
      <c r="C2150" s="1"/>
    </row>
    <row r="2151" spans="1:3" ht="17" x14ac:dyDescent="0.25">
      <c r="A2151" s="3" t="s">
        <v>971</v>
      </c>
      <c r="B2151" s="3">
        <f>12</f>
        <v>12</v>
      </c>
      <c r="C2151" s="1"/>
    </row>
    <row r="2152" spans="1:3" ht="17" x14ac:dyDescent="0.25">
      <c r="A2152" s="3" t="s">
        <v>2573</v>
      </c>
      <c r="B2152" s="3">
        <f>3</f>
        <v>3</v>
      </c>
      <c r="C2152" s="1"/>
    </row>
    <row r="2153" spans="1:3" ht="17" x14ac:dyDescent="0.25">
      <c r="A2153" s="3" t="s">
        <v>2124</v>
      </c>
      <c r="B2153" s="3">
        <f xml:space="preserve"> vpcs * gqzz</f>
        <v>118</v>
      </c>
      <c r="C2153" s="1"/>
    </row>
    <row r="2154" spans="1:3" ht="17" x14ac:dyDescent="0.25">
      <c r="A2154" s="3" t="s">
        <v>1958</v>
      </c>
      <c r="B2154" s="3">
        <f>4</f>
        <v>4</v>
      </c>
      <c r="C2154" s="1"/>
    </row>
    <row r="2155" spans="1:3" ht="17" x14ac:dyDescent="0.25">
      <c r="A2155" s="3" t="s">
        <v>2482</v>
      </c>
      <c r="B2155" s="3">
        <f xml:space="preserve"> wrth * tbhv</f>
        <v>22</v>
      </c>
      <c r="C2155" s="1"/>
    </row>
    <row r="2156" spans="1:3" ht="17" x14ac:dyDescent="0.25">
      <c r="A2156" s="3" t="s">
        <v>1322</v>
      </c>
      <c r="B2156" s="3">
        <f>9</f>
        <v>9</v>
      </c>
      <c r="C2156" s="1"/>
    </row>
    <row r="2157" spans="1:3" ht="17" x14ac:dyDescent="0.25">
      <c r="A2157" s="3" t="s">
        <v>1639</v>
      </c>
      <c r="B2157" s="3">
        <f>2</f>
        <v>2</v>
      </c>
      <c r="C2157" s="1"/>
    </row>
    <row r="2158" spans="1:3" ht="17" x14ac:dyDescent="0.25">
      <c r="A2158" s="3" t="s">
        <v>1842</v>
      </c>
      <c r="B2158" s="3">
        <f>3</f>
        <v>3</v>
      </c>
      <c r="C2158" s="1"/>
    </row>
    <row r="2159" spans="1:3" ht="17" x14ac:dyDescent="0.25">
      <c r="A2159" s="3" t="s">
        <v>2483</v>
      </c>
      <c r="B2159" s="3">
        <f xml:space="preserve"> bmbq * wmbb</f>
        <v>794</v>
      </c>
      <c r="C2159" s="1"/>
    </row>
    <row r="2160" spans="1:3" ht="17" x14ac:dyDescent="0.25">
      <c r="A2160" s="3" t="s">
        <v>2454</v>
      </c>
      <c r="B2160" s="3">
        <f>4</f>
        <v>4</v>
      </c>
      <c r="C2160" s="1"/>
    </row>
    <row r="2161" spans="1:3" ht="17" x14ac:dyDescent="0.25">
      <c r="A2161" s="3" t="s">
        <v>2485</v>
      </c>
      <c r="B2161" s="3">
        <f xml:space="preserve"> sfwz + qzmd</f>
        <v>38</v>
      </c>
      <c r="C2161" s="1"/>
    </row>
    <row r="2162" spans="1:3" ht="17" x14ac:dyDescent="0.25">
      <c r="A2162" s="3" t="s">
        <v>2407</v>
      </c>
      <c r="B2162" s="3">
        <f xml:space="preserve"> zvvw * bpjm</f>
        <v>9</v>
      </c>
      <c r="C2162" s="1"/>
    </row>
    <row r="2163" spans="1:3" ht="17" x14ac:dyDescent="0.25">
      <c r="A2163" s="3" t="s">
        <v>1067</v>
      </c>
      <c r="B2163" s="3">
        <f xml:space="preserve"> npct + cgnd</f>
        <v>47</v>
      </c>
      <c r="C2163" s="1"/>
    </row>
    <row r="2164" spans="1:3" ht="17" x14ac:dyDescent="0.25">
      <c r="A2164" s="3" t="s">
        <v>693</v>
      </c>
      <c r="B2164" s="3">
        <f>4</f>
        <v>4</v>
      </c>
      <c r="C2164" s="1"/>
    </row>
    <row r="2165" spans="1:3" ht="17" x14ac:dyDescent="0.25">
      <c r="A2165" s="3" t="s">
        <v>2579</v>
      </c>
      <c r="B2165" s="3">
        <f>5</f>
        <v>5</v>
      </c>
      <c r="C2165" s="1"/>
    </row>
    <row r="2166" spans="1:3" ht="17" x14ac:dyDescent="0.25">
      <c r="A2166" s="3" t="s">
        <v>2197</v>
      </c>
      <c r="B2166" s="3">
        <f>5</f>
        <v>5</v>
      </c>
      <c r="C2166" s="1"/>
    </row>
    <row r="2167" spans="1:3" ht="17" x14ac:dyDescent="0.25">
      <c r="A2167" s="3" t="s">
        <v>862</v>
      </c>
      <c r="B2167" s="3">
        <f>2</f>
        <v>2</v>
      </c>
      <c r="C2167" s="1"/>
    </row>
    <row r="2168" spans="1:3" ht="17" x14ac:dyDescent="0.25">
      <c r="A2168" s="3" t="s">
        <v>1460</v>
      </c>
      <c r="B2168" s="3">
        <f xml:space="preserve"> snfh * wgfr</f>
        <v>21</v>
      </c>
      <c r="C2168" s="1"/>
    </row>
    <row r="2169" spans="1:3" ht="17" x14ac:dyDescent="0.25">
      <c r="A2169" s="3" t="s">
        <v>2229</v>
      </c>
      <c r="B2169" s="3">
        <f xml:space="preserve"> gphq / qlbs</f>
        <v>26</v>
      </c>
      <c r="C2169" s="1"/>
    </row>
    <row r="2170" spans="1:3" ht="17" x14ac:dyDescent="0.25">
      <c r="A2170" s="3" t="s">
        <v>1378</v>
      </c>
      <c r="B2170" s="3">
        <f xml:space="preserve"> fvmv * rtrc</f>
        <v>91</v>
      </c>
      <c r="C2170" s="1"/>
    </row>
    <row r="2171" spans="1:3" ht="17" x14ac:dyDescent="0.25">
      <c r="A2171" s="3" t="s">
        <v>2151</v>
      </c>
      <c r="B2171" s="3">
        <f xml:space="preserve"> cgnt * djtc</f>
        <v>22</v>
      </c>
      <c r="C2171" s="1"/>
    </row>
    <row r="2172" spans="1:3" ht="17" x14ac:dyDescent="0.25">
      <c r="A2172" s="3" t="s">
        <v>1371</v>
      </c>
      <c r="B2172" s="3">
        <f xml:space="preserve"> bctr - fsqb</f>
        <v>23</v>
      </c>
      <c r="C2172" s="1"/>
    </row>
    <row r="2173" spans="1:3" ht="17" x14ac:dyDescent="0.25">
      <c r="A2173" s="3" t="s">
        <v>2581</v>
      </c>
      <c r="B2173" s="3">
        <f xml:space="preserve"> clcj + wjtd</f>
        <v>57</v>
      </c>
      <c r="C2173" s="1"/>
    </row>
    <row r="2174" spans="1:3" ht="17" x14ac:dyDescent="0.25">
      <c r="A2174" s="3" t="s">
        <v>1320</v>
      </c>
      <c r="B2174" s="3">
        <f xml:space="preserve"> fmdb * jmdz</f>
        <v>128</v>
      </c>
      <c r="C2174" s="1"/>
    </row>
    <row r="2175" spans="1:3" ht="17" x14ac:dyDescent="0.25">
      <c r="A2175" s="3" t="s">
        <v>2584</v>
      </c>
      <c r="B2175" s="3">
        <f>3</f>
        <v>3</v>
      </c>
      <c r="C2175" s="1"/>
    </row>
    <row r="2176" spans="1:3" ht="17" x14ac:dyDescent="0.25">
      <c r="A2176" s="3" t="s">
        <v>2585</v>
      </c>
      <c r="B2176" s="3">
        <f>5</f>
        <v>5</v>
      </c>
      <c r="C2176" s="1"/>
    </row>
    <row r="2177" spans="1:3" ht="17" x14ac:dyDescent="0.25">
      <c r="A2177" s="3" t="s">
        <v>99</v>
      </c>
      <c r="B2177" s="3">
        <f>5</f>
        <v>5</v>
      </c>
      <c r="C2177" s="1"/>
    </row>
    <row r="2178" spans="1:3" ht="17" x14ac:dyDescent="0.25">
      <c r="A2178" s="3" t="s">
        <v>2586</v>
      </c>
      <c r="B2178" s="3">
        <f>3</f>
        <v>3</v>
      </c>
      <c r="C2178" s="1"/>
    </row>
    <row r="2179" spans="1:3" ht="17" x14ac:dyDescent="0.25">
      <c r="A2179" s="3" t="s">
        <v>322</v>
      </c>
      <c r="B2179" s="3">
        <f xml:space="preserve"> rnnm * jcpj</f>
        <v>16</v>
      </c>
      <c r="C2179" s="1"/>
    </row>
    <row r="2180" spans="1:3" ht="17" x14ac:dyDescent="0.25">
      <c r="A2180" s="3" t="s">
        <v>341</v>
      </c>
      <c r="B2180" s="3">
        <f xml:space="preserve"> znnc * ptjc</f>
        <v>481</v>
      </c>
      <c r="C2180" s="1"/>
    </row>
    <row r="2181" spans="1:3" ht="17" x14ac:dyDescent="0.25">
      <c r="A2181" s="3" t="s">
        <v>2192</v>
      </c>
      <c r="B2181" s="3">
        <f xml:space="preserve"> hjls - jcsw</f>
        <v>28</v>
      </c>
      <c r="C2181" s="1"/>
    </row>
    <row r="2182" spans="1:3" ht="17" x14ac:dyDescent="0.25">
      <c r="A2182" s="3" t="s">
        <v>2086</v>
      </c>
      <c r="B2182" s="3">
        <f xml:space="preserve"> mpbr / grln</f>
        <v>7</v>
      </c>
      <c r="C2182" s="1"/>
    </row>
    <row r="2183" spans="1:3" ht="17" x14ac:dyDescent="0.25">
      <c r="A2183" s="3" t="s">
        <v>364</v>
      </c>
      <c r="B2183" s="3">
        <f xml:space="preserve"> bvrn * sjht</f>
        <v>30</v>
      </c>
      <c r="C2183" s="1"/>
    </row>
    <row r="2184" spans="1:3" ht="17" x14ac:dyDescent="0.25">
      <c r="A2184" s="3" t="s">
        <v>741</v>
      </c>
      <c r="B2184" s="3">
        <f>9</f>
        <v>9</v>
      </c>
      <c r="C2184" s="1"/>
    </row>
    <row r="2185" spans="1:3" ht="17" x14ac:dyDescent="0.25">
      <c r="A2185" s="3" t="s">
        <v>789</v>
      </c>
      <c r="B2185" s="3">
        <f xml:space="preserve"> jzqd * hpzr</f>
        <v>175045</v>
      </c>
      <c r="C2185" s="1"/>
    </row>
    <row r="2186" spans="1:3" ht="17" x14ac:dyDescent="0.25">
      <c r="A2186" s="3" t="s">
        <v>2510</v>
      </c>
      <c r="B2186" s="3">
        <f xml:space="preserve"> pnhw * dbcq</f>
        <v>20</v>
      </c>
      <c r="C2186" s="1"/>
    </row>
    <row r="2187" spans="1:3" ht="17" x14ac:dyDescent="0.25">
      <c r="A2187" s="3" t="s">
        <v>2592</v>
      </c>
      <c r="B2187" s="3">
        <f xml:space="preserve"> mbps + rhgq</f>
        <v>7</v>
      </c>
      <c r="C2187" s="1"/>
    </row>
    <row r="2188" spans="1:3" ht="17" x14ac:dyDescent="0.25">
      <c r="A2188" s="3" t="s">
        <v>2576</v>
      </c>
      <c r="B2188" s="3">
        <f xml:space="preserve"> ncfz + tmfb</f>
        <v>397</v>
      </c>
      <c r="C2188" s="1"/>
    </row>
    <row r="2189" spans="1:3" ht="17" x14ac:dyDescent="0.25">
      <c r="A2189" s="3" t="s">
        <v>2336</v>
      </c>
      <c r="B2189" s="3">
        <f xml:space="preserve"> twcm + dslr</f>
        <v>44</v>
      </c>
      <c r="C2189" s="1"/>
    </row>
    <row r="2190" spans="1:3" ht="17" x14ac:dyDescent="0.25">
      <c r="A2190" s="3" t="s">
        <v>1863</v>
      </c>
      <c r="B2190" s="3">
        <f>3</f>
        <v>3</v>
      </c>
      <c r="C2190" s="1"/>
    </row>
    <row r="2191" spans="1:3" ht="17" x14ac:dyDescent="0.25">
      <c r="A2191" s="3" t="s">
        <v>199</v>
      </c>
      <c r="B2191" s="3">
        <f xml:space="preserve"> zbzr * qjtc</f>
        <v>8</v>
      </c>
      <c r="C2191" s="1"/>
    </row>
    <row r="2192" spans="1:3" ht="17" x14ac:dyDescent="0.25">
      <c r="A2192" s="3" t="s">
        <v>2594</v>
      </c>
      <c r="B2192" s="3">
        <f>2</f>
        <v>2</v>
      </c>
      <c r="C2192" s="1"/>
    </row>
    <row r="2193" spans="1:3" ht="17" x14ac:dyDescent="0.25">
      <c r="A2193" s="3" t="s">
        <v>1395</v>
      </c>
      <c r="B2193" s="3">
        <f xml:space="preserve"> ndlq + hfdq</f>
        <v>162</v>
      </c>
      <c r="C2193" s="1"/>
    </row>
    <row r="2194" spans="1:3" ht="17" x14ac:dyDescent="0.25">
      <c r="A2194" s="3" t="s">
        <v>2431</v>
      </c>
      <c r="B2194" s="3">
        <f xml:space="preserve"> hzhc * zbjp</f>
        <v>72</v>
      </c>
      <c r="C2194" s="1"/>
    </row>
    <row r="2195" spans="1:3" ht="17" x14ac:dyDescent="0.25">
      <c r="A2195" s="3" t="s">
        <v>2532</v>
      </c>
      <c r="B2195" s="3">
        <f>9</f>
        <v>9</v>
      </c>
      <c r="C2195" s="1"/>
    </row>
    <row r="2196" spans="1:3" ht="17" x14ac:dyDescent="0.25">
      <c r="A2196" s="3" t="s">
        <v>1765</v>
      </c>
      <c r="B2196" s="3">
        <f>3</f>
        <v>3</v>
      </c>
      <c r="C2196" s="1"/>
    </row>
    <row r="2197" spans="1:3" ht="17" x14ac:dyDescent="0.25">
      <c r="A2197" s="3" t="s">
        <v>1600</v>
      </c>
      <c r="B2197" s="3">
        <f>10</f>
        <v>10</v>
      </c>
      <c r="C2197" s="1"/>
    </row>
    <row r="2198" spans="1:3" ht="17" x14ac:dyDescent="0.25">
      <c r="A2198" s="3" t="s">
        <v>2596</v>
      </c>
      <c r="B2198" s="3">
        <f>2</f>
        <v>2</v>
      </c>
      <c r="C2198" s="1"/>
    </row>
    <row r="2199" spans="1:3" ht="17" x14ac:dyDescent="0.25">
      <c r="A2199" s="3" t="s">
        <v>1186</v>
      </c>
      <c r="B2199" s="3">
        <f xml:space="preserve"> mjrf + zdpw</f>
        <v>14245</v>
      </c>
      <c r="C2199" s="1"/>
    </row>
    <row r="2200" spans="1:3" ht="17" x14ac:dyDescent="0.25">
      <c r="A2200" s="3" t="s">
        <v>2550</v>
      </c>
      <c r="B2200" s="3">
        <f xml:space="preserve"> sdmp + qrdc</f>
        <v>11</v>
      </c>
      <c r="C2200" s="1"/>
    </row>
    <row r="2201" spans="1:3" ht="17" x14ac:dyDescent="0.25">
      <c r="A2201" s="3" t="s">
        <v>2234</v>
      </c>
      <c r="B2201" s="3">
        <f xml:space="preserve"> fbvc * bvmd</f>
        <v>8</v>
      </c>
      <c r="C2201" s="1"/>
    </row>
    <row r="2202" spans="1:3" ht="17" x14ac:dyDescent="0.25">
      <c r="A2202" s="3" t="s">
        <v>216</v>
      </c>
      <c r="B2202" s="3">
        <f xml:space="preserve"> ptpf + nrjd</f>
        <v>1193</v>
      </c>
      <c r="C2202" s="1"/>
    </row>
    <row r="2203" spans="1:3" ht="17" x14ac:dyDescent="0.25">
      <c r="A2203" s="3" t="s">
        <v>2599</v>
      </c>
      <c r="B2203" s="3">
        <f xml:space="preserve"> mzsc + sppm</f>
        <v>11</v>
      </c>
      <c r="C2203" s="1"/>
    </row>
    <row r="2204" spans="1:3" ht="17" x14ac:dyDescent="0.25">
      <c r="A2204" s="3" t="s">
        <v>2600</v>
      </c>
      <c r="B2204" s="3">
        <f>8</f>
        <v>8</v>
      </c>
      <c r="C2204" s="1"/>
    </row>
    <row r="2205" spans="1:3" ht="17" x14ac:dyDescent="0.25">
      <c r="A2205" s="3" t="s">
        <v>1793</v>
      </c>
      <c r="B2205" s="3">
        <f>3</f>
        <v>3</v>
      </c>
      <c r="C2205" s="1"/>
    </row>
    <row r="2206" spans="1:3" ht="17" x14ac:dyDescent="0.25">
      <c r="A2206" s="3" t="s">
        <v>2282</v>
      </c>
      <c r="B2206" s="3">
        <f>2</f>
        <v>2</v>
      </c>
      <c r="C2206" s="1"/>
    </row>
    <row r="2207" spans="1:3" ht="17" x14ac:dyDescent="0.25">
      <c r="A2207" s="3" t="s">
        <v>854</v>
      </c>
      <c r="B2207" s="3">
        <f>3</f>
        <v>3</v>
      </c>
      <c r="C2207" s="1"/>
    </row>
    <row r="2208" spans="1:3" ht="17" x14ac:dyDescent="0.25">
      <c r="A2208" s="3" t="s">
        <v>2543</v>
      </c>
      <c r="B2208" s="3">
        <f xml:space="preserve"> dnhb * thrm</f>
        <v>20</v>
      </c>
      <c r="C2208" s="1"/>
    </row>
    <row r="2209" spans="1:3" ht="17" x14ac:dyDescent="0.25">
      <c r="A2209" s="3" t="s">
        <v>2601</v>
      </c>
      <c r="B2209" s="3">
        <f>9</f>
        <v>9</v>
      </c>
      <c r="C2209" s="1"/>
    </row>
    <row r="2210" spans="1:3" ht="17" x14ac:dyDescent="0.25">
      <c r="A2210" s="3" t="s">
        <v>2602</v>
      </c>
      <c r="B2210" s="3">
        <f>4</f>
        <v>4</v>
      </c>
      <c r="C2210" s="1"/>
    </row>
    <row r="2211" spans="1:3" ht="17" x14ac:dyDescent="0.25">
      <c r="A2211" s="3" t="s">
        <v>2147</v>
      </c>
      <c r="B2211" s="3">
        <f>4</f>
        <v>4</v>
      </c>
      <c r="C2211" s="1"/>
    </row>
    <row r="2212" spans="1:3" ht="17" x14ac:dyDescent="0.25">
      <c r="A2212" s="3" t="s">
        <v>2502</v>
      </c>
      <c r="B2212" s="3">
        <f xml:space="preserve"> fdjr + hzpg</f>
        <v>29</v>
      </c>
      <c r="C2212" s="1"/>
    </row>
    <row r="2213" spans="1:3" ht="17" x14ac:dyDescent="0.25">
      <c r="A2213" s="3" t="s">
        <v>1308</v>
      </c>
      <c r="B2213" s="3">
        <f>2</f>
        <v>2</v>
      </c>
      <c r="C2213" s="1"/>
    </row>
    <row r="2214" spans="1:3" ht="17" x14ac:dyDescent="0.25">
      <c r="A2214" s="3" t="s">
        <v>2497</v>
      </c>
      <c r="B2214" s="3">
        <f xml:space="preserve"> qhnd - zzzb</f>
        <v>7</v>
      </c>
      <c r="C2214" s="1"/>
    </row>
    <row r="2215" spans="1:3" ht="17" x14ac:dyDescent="0.25">
      <c r="A2215" s="3" t="s">
        <v>2603</v>
      </c>
      <c r="B2215" s="3">
        <f>2</f>
        <v>2</v>
      </c>
      <c r="C2215" s="1"/>
    </row>
    <row r="2216" spans="1:3" ht="17" x14ac:dyDescent="0.25">
      <c r="A2216" s="3" t="s">
        <v>2043</v>
      </c>
      <c r="B2216" s="3">
        <f xml:space="preserve"> prbs / rzzf</f>
        <v>19</v>
      </c>
      <c r="C2216" s="1"/>
    </row>
    <row r="2217" spans="1:3" ht="17" x14ac:dyDescent="0.25">
      <c r="A2217" s="3" t="s">
        <v>1517</v>
      </c>
      <c r="B2217" s="3">
        <f>2</f>
        <v>2</v>
      </c>
      <c r="C2217" s="1"/>
    </row>
    <row r="2218" spans="1:3" ht="17" x14ac:dyDescent="0.25">
      <c r="A2218" s="3" t="s">
        <v>1978</v>
      </c>
      <c r="B2218" s="3">
        <f xml:space="preserve"> wgqp + wrqg</f>
        <v>53</v>
      </c>
      <c r="C2218" s="1"/>
    </row>
    <row r="2219" spans="1:3" ht="17" x14ac:dyDescent="0.25">
      <c r="A2219" s="3" t="s">
        <v>2480</v>
      </c>
      <c r="B2219" s="3">
        <f>4</f>
        <v>4</v>
      </c>
      <c r="C2219" s="1"/>
    </row>
    <row r="2220" spans="1:3" ht="17" x14ac:dyDescent="0.25">
      <c r="A2220" s="3" t="s">
        <v>2344</v>
      </c>
      <c r="B2220" s="3">
        <f>11</f>
        <v>11</v>
      </c>
      <c r="C2220" s="1"/>
    </row>
    <row r="2221" spans="1:3" ht="17" x14ac:dyDescent="0.25">
      <c r="A2221" s="3" t="s">
        <v>2552</v>
      </c>
      <c r="B2221" s="3">
        <f xml:space="preserve"> qgfd * sqnb</f>
        <v>27</v>
      </c>
      <c r="C2221" s="1"/>
    </row>
    <row r="2222" spans="1:3" ht="17" x14ac:dyDescent="0.25">
      <c r="A2222" s="3" t="s">
        <v>1932</v>
      </c>
      <c r="B2222" s="3">
        <f xml:space="preserve"> mvdw * hwcg</f>
        <v>1314</v>
      </c>
      <c r="C2222" s="1"/>
    </row>
    <row r="2223" spans="1:3" ht="17" x14ac:dyDescent="0.25">
      <c r="A2223" s="3" t="s">
        <v>1474</v>
      </c>
      <c r="B2223" s="3">
        <f>9</f>
        <v>9</v>
      </c>
      <c r="C2223" s="1"/>
    </row>
    <row r="2224" spans="1:3" ht="17" x14ac:dyDescent="0.25">
      <c r="A2224" s="3" t="s">
        <v>1634</v>
      </c>
      <c r="B2224" s="3">
        <f xml:space="preserve"> thjn * hmqs</f>
        <v>7115</v>
      </c>
      <c r="C2224" s="1"/>
    </row>
    <row r="2225" spans="1:3" ht="17" x14ac:dyDescent="0.25">
      <c r="A2225" s="3" t="s">
        <v>2607</v>
      </c>
      <c r="B2225" s="3">
        <f xml:space="preserve"> gffr + nmjj</f>
        <v>18</v>
      </c>
      <c r="C2225" s="1"/>
    </row>
    <row r="2226" spans="1:3" ht="17" x14ac:dyDescent="0.25">
      <c r="A2226" s="3" t="s">
        <v>2608</v>
      </c>
      <c r="B2226" s="3">
        <f>2</f>
        <v>2</v>
      </c>
      <c r="C2226" s="1"/>
    </row>
    <row r="2227" spans="1:3" ht="17" x14ac:dyDescent="0.25">
      <c r="A2227" s="3" t="s">
        <v>2249</v>
      </c>
      <c r="B2227" s="3">
        <f xml:space="preserve"> stfs * lwcm</f>
        <v>9</v>
      </c>
      <c r="C2227" s="1"/>
    </row>
    <row r="2228" spans="1:3" ht="17" x14ac:dyDescent="0.25">
      <c r="A2228" s="3" t="s">
        <v>2189</v>
      </c>
      <c r="B2228" s="3">
        <f>3</f>
        <v>3</v>
      </c>
      <c r="C2228" s="1"/>
    </row>
    <row r="2229" spans="1:3" ht="17" x14ac:dyDescent="0.25">
      <c r="A2229" s="3" t="s">
        <v>1704</v>
      </c>
      <c r="B2229" s="3">
        <f xml:space="preserve"> pplm * cmmj</f>
        <v>631863</v>
      </c>
      <c r="C2229" s="1"/>
    </row>
    <row r="2230" spans="1:3" ht="17" x14ac:dyDescent="0.25">
      <c r="A2230" s="3" t="s">
        <v>2494</v>
      </c>
      <c r="B2230" s="3">
        <f xml:space="preserve"> fcbn + wdbm</f>
        <v>9419</v>
      </c>
      <c r="C2230" s="1"/>
    </row>
    <row r="2231" spans="1:3" ht="17" x14ac:dyDescent="0.25">
      <c r="A2231" s="3" t="s">
        <v>772</v>
      </c>
      <c r="B2231" s="3">
        <f xml:space="preserve"> nwgd * hcdv</f>
        <v>24</v>
      </c>
      <c r="C2231" s="1"/>
    </row>
    <row r="2232" spans="1:3" ht="17" x14ac:dyDescent="0.25">
      <c r="A2232" s="3" t="s">
        <v>2609</v>
      </c>
      <c r="B2232" s="3">
        <f>18</f>
        <v>18</v>
      </c>
      <c r="C2232" s="1"/>
    </row>
    <row r="2233" spans="1:3" ht="17" x14ac:dyDescent="0.25">
      <c r="A2233" s="3" t="s">
        <v>1199</v>
      </c>
      <c r="B2233" s="3">
        <f xml:space="preserve"> wvml * lzlp</f>
        <v>162</v>
      </c>
      <c r="C2233" s="1"/>
    </row>
    <row r="2234" spans="1:3" ht="17" x14ac:dyDescent="0.25">
      <c r="A2234" s="3" t="s">
        <v>1143</v>
      </c>
      <c r="B2234" s="3">
        <f xml:space="preserve"> mzpv + qqht</f>
        <v>45</v>
      </c>
      <c r="C2234" s="1"/>
    </row>
    <row r="2235" spans="1:3" ht="17" x14ac:dyDescent="0.25">
      <c r="A2235" s="3" t="s">
        <v>1670</v>
      </c>
      <c r="B2235" s="3">
        <f>16</f>
        <v>16</v>
      </c>
      <c r="C2235" s="1"/>
    </row>
    <row r="2236" spans="1:3" ht="17" x14ac:dyDescent="0.25">
      <c r="A2236" s="3" t="s">
        <v>2595</v>
      </c>
      <c r="B2236" s="3">
        <f xml:space="preserve"> gjwj * gddh</f>
        <v>135</v>
      </c>
      <c r="C2236" s="1"/>
    </row>
    <row r="2237" spans="1:3" ht="17" x14ac:dyDescent="0.25">
      <c r="A2237" s="3" t="s">
        <v>1646</v>
      </c>
      <c r="B2237" s="3">
        <f xml:space="preserve"> dbth * bjcn</f>
        <v>27</v>
      </c>
      <c r="C2237" s="1"/>
    </row>
    <row r="2238" spans="1:3" ht="17" x14ac:dyDescent="0.25">
      <c r="A2238" s="3" t="s">
        <v>1363</v>
      </c>
      <c r="B2238" s="3">
        <f xml:space="preserve"> dqmj * tvmj</f>
        <v>126</v>
      </c>
      <c r="C2238" s="1"/>
    </row>
    <row r="2239" spans="1:3" ht="17" x14ac:dyDescent="0.25">
      <c r="A2239" s="3" t="s">
        <v>1973</v>
      </c>
      <c r="B2239" s="3">
        <f>17</f>
        <v>17</v>
      </c>
      <c r="C2239" s="1"/>
    </row>
    <row r="2240" spans="1:3" ht="17" x14ac:dyDescent="0.25">
      <c r="A2240" s="3" t="s">
        <v>885</v>
      </c>
      <c r="B2240" s="3">
        <f xml:space="preserve"> fplw / gsgf</f>
        <v>35</v>
      </c>
      <c r="C2240" s="1"/>
    </row>
    <row r="2241" spans="1:3" ht="17" x14ac:dyDescent="0.25">
      <c r="A2241" s="3" t="s">
        <v>732</v>
      </c>
      <c r="B2241" s="3">
        <f xml:space="preserve"> gvfg * qhlm</f>
        <v>28</v>
      </c>
      <c r="C2241" s="1"/>
    </row>
    <row r="2242" spans="1:3" ht="17" x14ac:dyDescent="0.25">
      <c r="A2242" s="3" t="s">
        <v>1242</v>
      </c>
      <c r="B2242" s="3">
        <f>5</f>
        <v>5</v>
      </c>
      <c r="C2242" s="1"/>
    </row>
    <row r="2243" spans="1:3" ht="17" x14ac:dyDescent="0.25">
      <c r="A2243" s="3" t="s">
        <v>1461</v>
      </c>
      <c r="B2243" s="3">
        <f xml:space="preserve"> qrgh * gwrb</f>
        <v>104</v>
      </c>
      <c r="C2243" s="1"/>
    </row>
    <row r="2244" spans="1:3" ht="17" x14ac:dyDescent="0.25">
      <c r="A2244" s="3" t="s">
        <v>1972</v>
      </c>
      <c r="B2244" s="3">
        <f xml:space="preserve"> dcqm * rbmm</f>
        <v>33</v>
      </c>
      <c r="C2244" s="1"/>
    </row>
    <row r="2245" spans="1:3" ht="17" x14ac:dyDescent="0.25">
      <c r="A2245" s="3" t="s">
        <v>2611</v>
      </c>
      <c r="B2245" s="3">
        <f xml:space="preserve"> wdnb - jcwh</f>
        <v>7</v>
      </c>
      <c r="C2245" s="1"/>
    </row>
    <row r="2246" spans="1:3" ht="17" x14ac:dyDescent="0.25">
      <c r="A2246" s="3" t="s">
        <v>2084</v>
      </c>
      <c r="B2246" s="3">
        <f xml:space="preserve"> zhvc * zsrg</f>
        <v>150</v>
      </c>
      <c r="C2246" s="1"/>
    </row>
    <row r="2247" spans="1:3" ht="17" x14ac:dyDescent="0.25">
      <c r="A2247" s="3" t="s">
        <v>2613</v>
      </c>
      <c r="B2247" s="3">
        <f xml:space="preserve"> hhgt + svng</f>
        <v>7</v>
      </c>
      <c r="C2247" s="1"/>
    </row>
    <row r="2248" spans="1:3" ht="17" x14ac:dyDescent="0.25">
      <c r="A2248" s="3" t="s">
        <v>1764</v>
      </c>
      <c r="B2248" s="3">
        <f xml:space="preserve"> jpdt + qhpv</f>
        <v>238607371331673</v>
      </c>
      <c r="C2248" s="1"/>
    </row>
    <row r="2249" spans="1:3" ht="17" x14ac:dyDescent="0.25">
      <c r="A2249" s="3" t="s">
        <v>697</v>
      </c>
      <c r="B2249" s="3">
        <f xml:space="preserve"> crcz / hcmh</f>
        <v>98</v>
      </c>
      <c r="C2249" s="1"/>
    </row>
    <row r="2250" spans="1:3" ht="17" x14ac:dyDescent="0.25">
      <c r="A2250" s="3" t="s">
        <v>1548</v>
      </c>
      <c r="B2250" s="3">
        <f>2</f>
        <v>2</v>
      </c>
      <c r="C2250" s="1"/>
    </row>
    <row r="2251" spans="1:3" ht="17" x14ac:dyDescent="0.25">
      <c r="A2251" s="3" t="s">
        <v>328</v>
      </c>
      <c r="B2251" s="3">
        <f xml:space="preserve"> nztn + rdjj</f>
        <v>61</v>
      </c>
      <c r="C2251" s="1"/>
    </row>
    <row r="2252" spans="1:3" ht="17" x14ac:dyDescent="0.25">
      <c r="A2252" s="3" t="s">
        <v>2478</v>
      </c>
      <c r="B2252" s="3">
        <f xml:space="preserve"> tcqs + lmlq</f>
        <v>205</v>
      </c>
      <c r="C2252" s="1"/>
    </row>
    <row r="2253" spans="1:3" ht="17" x14ac:dyDescent="0.25">
      <c r="A2253" s="3" t="s">
        <v>1954</v>
      </c>
      <c r="B2253" s="3">
        <f xml:space="preserve"> tgdq * plms</f>
        <v>28</v>
      </c>
      <c r="C2253" s="1"/>
    </row>
    <row r="2254" spans="1:3" ht="17" x14ac:dyDescent="0.25">
      <c r="A2254" s="3" t="s">
        <v>2535</v>
      </c>
      <c r="B2254" s="3">
        <f xml:space="preserve"> tmqj + vjrs</f>
        <v>9</v>
      </c>
      <c r="C2254" s="1"/>
    </row>
    <row r="2255" spans="1:3" ht="17" x14ac:dyDescent="0.25">
      <c r="A2255" s="3" t="s">
        <v>1028</v>
      </c>
      <c r="B2255" s="3">
        <f xml:space="preserve"> rvfp - tpgs</f>
        <v>132</v>
      </c>
      <c r="C2255" s="1"/>
    </row>
    <row r="2256" spans="1:3" ht="17" x14ac:dyDescent="0.25">
      <c r="A2256" s="3" t="s">
        <v>2375</v>
      </c>
      <c r="B2256" s="3">
        <f>12</f>
        <v>12</v>
      </c>
      <c r="C2256" s="1"/>
    </row>
    <row r="2257" spans="1:3" ht="17" x14ac:dyDescent="0.25">
      <c r="A2257" s="3" t="s">
        <v>1721</v>
      </c>
      <c r="B2257" s="3">
        <f>2</f>
        <v>2</v>
      </c>
      <c r="C2257" s="1"/>
    </row>
    <row r="2258" spans="1:3" ht="17" x14ac:dyDescent="0.25">
      <c r="A2258" s="3" t="s">
        <v>2236</v>
      </c>
      <c r="B2258" s="3">
        <f xml:space="preserve"> qmvv + hclm</f>
        <v>36</v>
      </c>
      <c r="C2258" s="1"/>
    </row>
    <row r="2259" spans="1:3" ht="17" x14ac:dyDescent="0.25">
      <c r="A2259" s="3" t="s">
        <v>959</v>
      </c>
      <c r="B2259" s="3">
        <f xml:space="preserve"> gsbn / hdnn</f>
        <v>7</v>
      </c>
      <c r="C2259" s="1"/>
    </row>
    <row r="2260" spans="1:3" ht="17" x14ac:dyDescent="0.25">
      <c r="A2260" s="3" t="s">
        <v>1628</v>
      </c>
      <c r="B2260" s="3">
        <f>2</f>
        <v>2</v>
      </c>
      <c r="C2260" s="1"/>
    </row>
    <row r="2261" spans="1:3" ht="17" x14ac:dyDescent="0.25">
      <c r="A2261" s="3" t="s">
        <v>1874</v>
      </c>
      <c r="B2261" s="3">
        <f>13</f>
        <v>13</v>
      </c>
      <c r="C2261" s="1"/>
    </row>
    <row r="2262" spans="1:3" ht="17" x14ac:dyDescent="0.25">
      <c r="A2262" s="3" t="s">
        <v>1669</v>
      </c>
      <c r="B2262" s="3">
        <f>1</f>
        <v>1</v>
      </c>
      <c r="C2262" s="1"/>
    </row>
    <row r="2263" spans="1:3" ht="17" x14ac:dyDescent="0.25">
      <c r="A2263" s="3" t="s">
        <v>1431</v>
      </c>
      <c r="B2263" s="3">
        <f>4</f>
        <v>4</v>
      </c>
      <c r="C2263" s="1"/>
    </row>
    <row r="2264" spans="1:3" ht="17" x14ac:dyDescent="0.25">
      <c r="A2264" s="3" t="s">
        <v>1707</v>
      </c>
      <c r="B2264" s="3">
        <f>2</f>
        <v>2</v>
      </c>
      <c r="C2264" s="1"/>
    </row>
    <row r="2265" spans="1:3" ht="17" x14ac:dyDescent="0.25">
      <c r="A2265" s="3" t="s">
        <v>1697</v>
      </c>
      <c r="B2265" s="3">
        <f>2</f>
        <v>2</v>
      </c>
      <c r="C2265" s="1"/>
    </row>
    <row r="2266" spans="1:3" ht="17" x14ac:dyDescent="0.25">
      <c r="A2266" s="3" t="s">
        <v>558</v>
      </c>
      <c r="B2266" s="3">
        <f xml:space="preserve"> fglt + hwln</f>
        <v>503</v>
      </c>
      <c r="C2266" s="1"/>
    </row>
    <row r="2267" spans="1:3" ht="17" x14ac:dyDescent="0.25">
      <c r="A2267" s="3" t="s">
        <v>2566</v>
      </c>
      <c r="B2267" s="3">
        <f>13</f>
        <v>13</v>
      </c>
      <c r="C2267" s="1"/>
    </row>
    <row r="2268" spans="1:3" ht="17" x14ac:dyDescent="0.25">
      <c r="A2268" s="3" t="s">
        <v>1934</v>
      </c>
      <c r="B2268" s="3">
        <f>2</f>
        <v>2</v>
      </c>
      <c r="C2268" s="1"/>
    </row>
    <row r="2269" spans="1:3" ht="17" x14ac:dyDescent="0.25">
      <c r="A2269" s="3" t="s">
        <v>1834</v>
      </c>
      <c r="B2269" s="3">
        <f>2</f>
        <v>2</v>
      </c>
      <c r="C2269" s="1"/>
    </row>
    <row r="2270" spans="1:3" ht="17" x14ac:dyDescent="0.25">
      <c r="A2270" s="3" t="s">
        <v>1090</v>
      </c>
      <c r="B2270" s="3">
        <f xml:space="preserve"> wgpl + hhnb</f>
        <v>14</v>
      </c>
      <c r="C2270" s="1"/>
    </row>
    <row r="2271" spans="1:3" ht="17" x14ac:dyDescent="0.25">
      <c r="A2271" s="3" t="s">
        <v>1787</v>
      </c>
      <c r="B2271" s="3">
        <f xml:space="preserve"> fjrd + hjrw</f>
        <v>40</v>
      </c>
      <c r="C2271" s="1"/>
    </row>
    <row r="2272" spans="1:3" ht="17" x14ac:dyDescent="0.25">
      <c r="A2272" s="3" t="s">
        <v>2620</v>
      </c>
      <c r="B2272" s="3">
        <f>2</f>
        <v>2</v>
      </c>
      <c r="C2272" s="1"/>
    </row>
    <row r="2273" spans="1:3" ht="17" x14ac:dyDescent="0.25">
      <c r="A2273" s="3" t="s">
        <v>1297</v>
      </c>
      <c r="B2273" s="3">
        <f xml:space="preserve"> qglr + tnmz</f>
        <v>89</v>
      </c>
      <c r="C2273" s="1"/>
    </row>
    <row r="2274" spans="1:3" ht="17" x14ac:dyDescent="0.25">
      <c r="A2274" s="3" t="s">
        <v>2622</v>
      </c>
      <c r="B2274" s="3">
        <f>9</f>
        <v>9</v>
      </c>
      <c r="C2274" s="1"/>
    </row>
    <row r="2275" spans="1:3" ht="17" x14ac:dyDescent="0.25">
      <c r="A2275" s="3" t="s">
        <v>2623</v>
      </c>
      <c r="B2275" s="3">
        <f xml:space="preserve"> nchs + wvfw</f>
        <v>62</v>
      </c>
      <c r="C2275" s="1"/>
    </row>
    <row r="2276" spans="1:3" ht="17" x14ac:dyDescent="0.25">
      <c r="A2276" s="3" t="s">
        <v>2353</v>
      </c>
      <c r="B2276" s="3">
        <f>3</f>
        <v>3</v>
      </c>
      <c r="C2276" s="1"/>
    </row>
    <row r="2277" spans="1:3" ht="17" x14ac:dyDescent="0.25">
      <c r="A2277" s="3" t="s">
        <v>2582</v>
      </c>
      <c r="B2277" s="3">
        <f>2</f>
        <v>2</v>
      </c>
      <c r="C2277" s="1"/>
    </row>
    <row r="2278" spans="1:3" ht="17" x14ac:dyDescent="0.25">
      <c r="A2278" s="3" t="s">
        <v>2625</v>
      </c>
      <c r="B2278" s="3">
        <f>3</f>
        <v>3</v>
      </c>
      <c r="C2278" s="1"/>
    </row>
    <row r="2279" spans="1:3" ht="17" x14ac:dyDescent="0.25">
      <c r="A2279" s="3" t="s">
        <v>2408</v>
      </c>
      <c r="B2279" s="3">
        <f>2</f>
        <v>2</v>
      </c>
      <c r="C2279" s="1"/>
    </row>
    <row r="2280" spans="1:3" ht="17" x14ac:dyDescent="0.25">
      <c r="A2280" s="3" t="s">
        <v>1599</v>
      </c>
      <c r="B2280" s="3">
        <f xml:space="preserve"> bqqd * qsfb</f>
        <v>46</v>
      </c>
      <c r="C2280" s="1"/>
    </row>
    <row r="2281" spans="1:3" ht="17" x14ac:dyDescent="0.25">
      <c r="A2281" s="3" t="s">
        <v>2023</v>
      </c>
      <c r="B2281" s="3">
        <f>2</f>
        <v>2</v>
      </c>
      <c r="C2281" s="1"/>
    </row>
    <row r="2282" spans="1:3" ht="17" x14ac:dyDescent="0.25">
      <c r="A2282" s="3" t="s">
        <v>1965</v>
      </c>
      <c r="B2282" s="3">
        <f xml:space="preserve"> lfvh * tblp</f>
        <v>147</v>
      </c>
      <c r="C2282" s="1"/>
    </row>
    <row r="2283" spans="1:3" ht="17" x14ac:dyDescent="0.25">
      <c r="A2283" s="3" t="s">
        <v>513</v>
      </c>
      <c r="B2283" s="3">
        <f xml:space="preserve"> jzhz * pqrq</f>
        <v>6</v>
      </c>
      <c r="C2283" s="1"/>
    </row>
    <row r="2284" spans="1:3" ht="17" x14ac:dyDescent="0.25">
      <c r="A2284" s="3" t="s">
        <v>2290</v>
      </c>
      <c r="B2284" s="3">
        <f xml:space="preserve"> pqcp * drdm</f>
        <v>175</v>
      </c>
      <c r="C2284" s="1"/>
    </row>
    <row r="2285" spans="1:3" ht="17" x14ac:dyDescent="0.25">
      <c r="A2285" s="3" t="s">
        <v>2107</v>
      </c>
      <c r="B2285" s="3">
        <f xml:space="preserve"> mqqs + hmch</f>
        <v>1545</v>
      </c>
      <c r="C2285" s="1"/>
    </row>
    <row r="2286" spans="1:3" ht="17" x14ac:dyDescent="0.25">
      <c r="A2286" s="3" t="s">
        <v>2628</v>
      </c>
      <c r="B2286" s="3">
        <f xml:space="preserve"> vqdb * sjwp</f>
        <v>247</v>
      </c>
      <c r="C2286" s="1"/>
    </row>
    <row r="2287" spans="1:3" ht="17" x14ac:dyDescent="0.25">
      <c r="A2287" s="3" t="s">
        <v>2571</v>
      </c>
      <c r="B2287" s="3">
        <f>2</f>
        <v>2</v>
      </c>
      <c r="C2287" s="1"/>
    </row>
    <row r="2288" spans="1:3" ht="17" x14ac:dyDescent="0.25">
      <c r="A2288" s="3" t="s">
        <v>1324</v>
      </c>
      <c r="B2288" s="3">
        <f xml:space="preserve"> szll + qlfn</f>
        <v>65</v>
      </c>
      <c r="C2288" s="1"/>
    </row>
    <row r="2289" spans="1:3" ht="17" x14ac:dyDescent="0.25">
      <c r="A2289" s="3" t="s">
        <v>1735</v>
      </c>
      <c r="B2289" s="3">
        <f>2</f>
        <v>2</v>
      </c>
      <c r="C2289" s="1"/>
    </row>
    <row r="2290" spans="1:3" ht="17" x14ac:dyDescent="0.25">
      <c r="A2290" s="3" t="s">
        <v>1086</v>
      </c>
      <c r="B2290" s="3">
        <f>2</f>
        <v>2</v>
      </c>
      <c r="C2290" s="1"/>
    </row>
    <row r="2291" spans="1:3" ht="17" x14ac:dyDescent="0.25">
      <c r="A2291" s="3" t="s">
        <v>2391</v>
      </c>
      <c r="B2291" s="3">
        <f>3</f>
        <v>3</v>
      </c>
      <c r="C2291" s="1"/>
    </row>
    <row r="2292" spans="1:3" ht="17" x14ac:dyDescent="0.25">
      <c r="A2292" s="3" t="s">
        <v>914</v>
      </c>
      <c r="B2292" s="3">
        <f>2</f>
        <v>2</v>
      </c>
      <c r="C2292" s="1"/>
    </row>
    <row r="2293" spans="1:3" ht="17" x14ac:dyDescent="0.25">
      <c r="A2293" s="3" t="s">
        <v>2211</v>
      </c>
      <c r="B2293" s="3">
        <f>2</f>
        <v>2</v>
      </c>
      <c r="C2293" s="1"/>
    </row>
    <row r="2294" spans="1:3" ht="17" x14ac:dyDescent="0.25">
      <c r="A2294" s="3" t="s">
        <v>2630</v>
      </c>
      <c r="B2294" s="3">
        <f>6</f>
        <v>6</v>
      </c>
      <c r="C2294" s="1"/>
    </row>
    <row r="2295" spans="1:3" ht="17" x14ac:dyDescent="0.25">
      <c r="A2295" s="3" t="s">
        <v>1412</v>
      </c>
      <c r="B2295" s="3">
        <f xml:space="preserve"> zqjl * spnp</f>
        <v>169</v>
      </c>
      <c r="C2295" s="1"/>
    </row>
    <row r="2296" spans="1:3" ht="17" x14ac:dyDescent="0.25">
      <c r="A2296" s="3" t="s">
        <v>1800</v>
      </c>
      <c r="B2296" s="3">
        <f xml:space="preserve"> psrr * nvdq</f>
        <v>54</v>
      </c>
      <c r="C2296" s="1"/>
    </row>
    <row r="2297" spans="1:3" ht="17" x14ac:dyDescent="0.25">
      <c r="A2297" s="3" t="s">
        <v>1993</v>
      </c>
      <c r="B2297" s="3">
        <f xml:space="preserve"> mzzl * dfcv</f>
        <v>32</v>
      </c>
      <c r="C2297" s="1"/>
    </row>
    <row r="2298" spans="1:3" ht="17" x14ac:dyDescent="0.25">
      <c r="A2298" s="3" t="s">
        <v>2634</v>
      </c>
      <c r="B2298" s="3">
        <f xml:space="preserve"> zbcw + tjpj</f>
        <v>7</v>
      </c>
      <c r="C2298" s="1"/>
    </row>
    <row r="2299" spans="1:3" ht="17" x14ac:dyDescent="0.25">
      <c r="A2299" s="3" t="s">
        <v>2032</v>
      </c>
      <c r="B2299" s="3">
        <f>2</f>
        <v>2</v>
      </c>
      <c r="C2299" s="1"/>
    </row>
    <row r="2300" spans="1:3" ht="17" x14ac:dyDescent="0.25">
      <c r="A2300" s="3" t="s">
        <v>2018</v>
      </c>
      <c r="B2300" s="3">
        <f xml:space="preserve"> rgqh / ccqq</f>
        <v>10</v>
      </c>
      <c r="C2300" s="1"/>
    </row>
    <row r="2301" spans="1:3" ht="17" x14ac:dyDescent="0.25">
      <c r="A2301" s="3" t="s">
        <v>1695</v>
      </c>
      <c r="B2301" s="3">
        <f xml:space="preserve"> svzj + qqwg</f>
        <v>30</v>
      </c>
      <c r="C2301" s="1"/>
    </row>
    <row r="2302" spans="1:3" ht="17" x14ac:dyDescent="0.25">
      <c r="A2302" s="3" t="s">
        <v>719</v>
      </c>
      <c r="B2302" s="3">
        <f>3</f>
        <v>3</v>
      </c>
      <c r="C2302" s="1"/>
    </row>
    <row r="2303" spans="1:3" ht="17" x14ac:dyDescent="0.25">
      <c r="A2303" s="3" t="s">
        <v>2570</v>
      </c>
      <c r="B2303" s="3">
        <f>2</f>
        <v>2</v>
      </c>
      <c r="C2303" s="1"/>
    </row>
    <row r="2304" spans="1:3" ht="17" x14ac:dyDescent="0.25">
      <c r="A2304" s="3" t="s">
        <v>599</v>
      </c>
      <c r="B2304" s="3">
        <f>2</f>
        <v>2</v>
      </c>
      <c r="C2304" s="1"/>
    </row>
    <row r="2305" spans="1:3" ht="17" x14ac:dyDescent="0.25">
      <c r="A2305" s="3" t="s">
        <v>2627</v>
      </c>
      <c r="B2305" s="3">
        <f xml:space="preserve"> gvjm * vwdg</f>
        <v>35</v>
      </c>
      <c r="C2305" s="1"/>
    </row>
    <row r="2306" spans="1:3" ht="17" x14ac:dyDescent="0.25">
      <c r="A2306" s="3" t="s">
        <v>2489</v>
      </c>
      <c r="B2306" s="3">
        <f>5</f>
        <v>5</v>
      </c>
      <c r="C2306" s="1"/>
    </row>
    <row r="2307" spans="1:3" ht="17" x14ac:dyDescent="0.25">
      <c r="A2307" s="3" t="s">
        <v>1616</v>
      </c>
      <c r="B2307" s="3">
        <f>2</f>
        <v>2</v>
      </c>
      <c r="C2307" s="1"/>
    </row>
    <row r="2308" spans="1:3" ht="17" x14ac:dyDescent="0.25">
      <c r="A2308" s="3" t="s">
        <v>295</v>
      </c>
      <c r="B2308" s="3">
        <f xml:space="preserve"> vbht / jpdw</f>
        <v>11</v>
      </c>
      <c r="C2308" s="1"/>
    </row>
    <row r="2309" spans="1:3" ht="17" x14ac:dyDescent="0.25">
      <c r="A2309" s="3" t="s">
        <v>1373</v>
      </c>
      <c r="B2309" s="3">
        <f xml:space="preserve"> zfrc + rpsc</f>
        <v>428</v>
      </c>
      <c r="C2309" s="1"/>
    </row>
    <row r="2310" spans="1:3" ht="17" x14ac:dyDescent="0.25">
      <c r="A2310" s="3" t="s">
        <v>2093</v>
      </c>
      <c r="B2310" s="3">
        <f>9</f>
        <v>9</v>
      </c>
      <c r="C2310" s="1"/>
    </row>
    <row r="2311" spans="1:3" ht="17" x14ac:dyDescent="0.25">
      <c r="A2311" s="3" t="s">
        <v>2614</v>
      </c>
      <c r="B2311" s="3">
        <f>5</f>
        <v>5</v>
      </c>
      <c r="C2311" s="1"/>
    </row>
    <row r="2312" spans="1:3" ht="17" x14ac:dyDescent="0.25">
      <c r="A2312" s="3" t="s">
        <v>644</v>
      </c>
      <c r="B2312" s="3">
        <f>17</f>
        <v>17</v>
      </c>
      <c r="C2312" s="1"/>
    </row>
    <row r="2313" spans="1:3" ht="17" x14ac:dyDescent="0.25">
      <c r="A2313" s="3" t="s">
        <v>2637</v>
      </c>
      <c r="B2313" s="3">
        <f xml:space="preserve"> vdgf - bjzb</f>
        <v>1201</v>
      </c>
      <c r="C2313" s="1"/>
    </row>
    <row r="2314" spans="1:3" ht="17" x14ac:dyDescent="0.25">
      <c r="A2314" s="3" t="s">
        <v>1449</v>
      </c>
      <c r="B2314" s="3">
        <f xml:space="preserve"> glps * pngh</f>
        <v>6</v>
      </c>
      <c r="C2314" s="1"/>
    </row>
    <row r="2315" spans="1:3" ht="17" x14ac:dyDescent="0.25">
      <c r="A2315" s="3" t="s">
        <v>2639</v>
      </c>
      <c r="B2315" s="3">
        <f xml:space="preserve"> lggm - lpzn</f>
        <v>127825377499763</v>
      </c>
      <c r="C2315" s="1"/>
    </row>
    <row r="2316" spans="1:3" ht="17" x14ac:dyDescent="0.25">
      <c r="A2316" s="3" t="s">
        <v>904</v>
      </c>
      <c r="B2316" s="3">
        <f xml:space="preserve"> bwfb / gbqp</f>
        <v>7</v>
      </c>
      <c r="C2316" s="1"/>
    </row>
    <row r="2317" spans="1:3" ht="17" x14ac:dyDescent="0.25">
      <c r="A2317" s="3" t="s">
        <v>2641</v>
      </c>
      <c r="B2317" s="3">
        <f>2</f>
        <v>2</v>
      </c>
      <c r="C2317" s="1"/>
    </row>
    <row r="2318" spans="1:3" ht="17" x14ac:dyDescent="0.25">
      <c r="A2318" s="3" t="s">
        <v>159</v>
      </c>
      <c r="B2318" s="3">
        <f>8</f>
        <v>8</v>
      </c>
      <c r="C2318" s="1"/>
    </row>
    <row r="2319" spans="1:3" ht="17" x14ac:dyDescent="0.25">
      <c r="A2319" s="3" t="s">
        <v>1374</v>
      </c>
      <c r="B2319" s="3">
        <f>2</f>
        <v>2</v>
      </c>
      <c r="C2319" s="1"/>
    </row>
    <row r="2320" spans="1:3" ht="17" x14ac:dyDescent="0.25">
      <c r="A2320" s="3" t="s">
        <v>397</v>
      </c>
      <c r="B2320" s="3">
        <f>5</f>
        <v>5</v>
      </c>
      <c r="C2320" s="1"/>
    </row>
    <row r="2321" spans="1:3" ht="17" x14ac:dyDescent="0.25">
      <c r="A2321" s="3" t="s">
        <v>2642</v>
      </c>
      <c r="B2321" s="3">
        <f xml:space="preserve"> wgmn * hqnp</f>
        <v>30</v>
      </c>
      <c r="C2321" s="1"/>
    </row>
    <row r="2322" spans="1:3" ht="17" x14ac:dyDescent="0.25">
      <c r="A2322" s="3" t="s">
        <v>2442</v>
      </c>
      <c r="B2322" s="3">
        <f>2</f>
        <v>2</v>
      </c>
      <c r="C2322" s="1"/>
    </row>
    <row r="2323" spans="1:3" ht="17" x14ac:dyDescent="0.25">
      <c r="A2323" s="3" t="s">
        <v>2165</v>
      </c>
      <c r="B2323" s="3">
        <f>12</f>
        <v>12</v>
      </c>
      <c r="C2323" s="1"/>
    </row>
    <row r="2324" spans="1:3" ht="17" x14ac:dyDescent="0.25">
      <c r="A2324" s="3" t="s">
        <v>193</v>
      </c>
      <c r="B2324" s="3">
        <f>2</f>
        <v>2</v>
      </c>
      <c r="C2324" s="1"/>
    </row>
    <row r="2325" spans="1:3" ht="17" x14ac:dyDescent="0.25">
      <c r="A2325" s="3" t="s">
        <v>2597</v>
      </c>
      <c r="B2325" s="3">
        <f>2</f>
        <v>2</v>
      </c>
      <c r="C2325" s="1"/>
    </row>
    <row r="2326" spans="1:3" ht="17" x14ac:dyDescent="0.25">
      <c r="A2326" s="3" t="s">
        <v>2546</v>
      </c>
      <c r="B2326" s="3">
        <f xml:space="preserve"> wjhg + hcnv</f>
        <v>19</v>
      </c>
      <c r="C2326" s="1"/>
    </row>
    <row r="2327" spans="1:3" ht="17" x14ac:dyDescent="0.25">
      <c r="A2327" s="3" t="s">
        <v>2577</v>
      </c>
      <c r="B2327" s="3">
        <f xml:space="preserve"> zhbn * vstr</f>
        <v>34</v>
      </c>
      <c r="C2327" s="1"/>
    </row>
    <row r="2328" spans="1:3" ht="17" x14ac:dyDescent="0.25">
      <c r="A2328" s="3" t="s">
        <v>1584</v>
      </c>
      <c r="B2328" s="3">
        <f>5</f>
        <v>5</v>
      </c>
      <c r="C2328" s="1"/>
    </row>
    <row r="2329" spans="1:3" ht="17" x14ac:dyDescent="0.25">
      <c r="A2329" s="3" t="s">
        <v>1068</v>
      </c>
      <c r="B2329" s="3">
        <f>2</f>
        <v>2</v>
      </c>
      <c r="C2329" s="1"/>
    </row>
    <row r="2330" spans="1:3" ht="17" x14ac:dyDescent="0.25">
      <c r="A2330" s="3" t="s">
        <v>2643</v>
      </c>
      <c r="B2330" s="3">
        <f xml:space="preserve"> nbft + vbvf</f>
        <v>419</v>
      </c>
      <c r="C2330" s="1"/>
    </row>
    <row r="2331" spans="1:3" ht="17" x14ac:dyDescent="0.25">
      <c r="A2331" s="3" t="s">
        <v>2621</v>
      </c>
      <c r="B2331" s="3">
        <f xml:space="preserve"> plgc * bfsc</f>
        <v>27</v>
      </c>
      <c r="C2331" s="1"/>
    </row>
    <row r="2332" spans="1:3" ht="17" x14ac:dyDescent="0.25">
      <c r="A2332" s="3" t="s">
        <v>2644</v>
      </c>
      <c r="B2332" s="3">
        <f>2</f>
        <v>2</v>
      </c>
      <c r="C2332" s="1"/>
    </row>
    <row r="2333" spans="1:3" ht="17" x14ac:dyDescent="0.25">
      <c r="A2333" s="3" t="s">
        <v>44</v>
      </c>
      <c r="B2333" s="3">
        <f xml:space="preserve"> mcsm * djpd</f>
        <v>198</v>
      </c>
      <c r="C2333" s="1"/>
    </row>
    <row r="2334" spans="1:3" ht="17" x14ac:dyDescent="0.25">
      <c r="A2334" s="3" t="s">
        <v>2646</v>
      </c>
      <c r="B2334" s="3">
        <f>2</f>
        <v>2</v>
      </c>
      <c r="C2334" s="1"/>
    </row>
    <row r="2335" spans="1:3" ht="17" x14ac:dyDescent="0.25">
      <c r="A2335" s="3" t="s">
        <v>257</v>
      </c>
      <c r="B2335" s="3">
        <f xml:space="preserve"> vdmn * rmfd</f>
        <v>8</v>
      </c>
      <c r="C2335" s="1"/>
    </row>
    <row r="2336" spans="1:3" ht="17" x14ac:dyDescent="0.25">
      <c r="A2336" s="3" t="s">
        <v>2618</v>
      </c>
      <c r="B2336" s="3">
        <f>5</f>
        <v>5</v>
      </c>
      <c r="C2336" s="1"/>
    </row>
    <row r="2337" spans="1:3" ht="17" x14ac:dyDescent="0.25">
      <c r="A2337" s="3" t="s">
        <v>1403</v>
      </c>
      <c r="B2337" s="3">
        <f>1</f>
        <v>1</v>
      </c>
      <c r="C2337" s="1"/>
    </row>
    <row r="2338" spans="1:3" ht="17" x14ac:dyDescent="0.25">
      <c r="A2338" s="3" t="s">
        <v>2647</v>
      </c>
      <c r="B2338" s="3">
        <f xml:space="preserve"> cbgc + jlnj</f>
        <v>41</v>
      </c>
      <c r="C2338" s="1"/>
    </row>
    <row r="2339" spans="1:3" ht="17" x14ac:dyDescent="0.25">
      <c r="A2339" s="3" t="s">
        <v>2347</v>
      </c>
      <c r="B2339" s="3">
        <f>1</f>
        <v>1</v>
      </c>
      <c r="C2339" s="1"/>
    </row>
    <row r="2340" spans="1:3" ht="17" x14ac:dyDescent="0.25">
      <c r="A2340" s="3" t="s">
        <v>2076</v>
      </c>
      <c r="B2340" s="3">
        <f>6</f>
        <v>6</v>
      </c>
      <c r="C2340" s="1"/>
    </row>
    <row r="2341" spans="1:3" ht="17" x14ac:dyDescent="0.25">
      <c r="A2341" s="3" t="s">
        <v>2390</v>
      </c>
      <c r="B2341" s="3">
        <f xml:space="preserve"> sbcl * hbtb</f>
        <v>28</v>
      </c>
      <c r="C2341" s="1"/>
    </row>
    <row r="2342" spans="1:3" ht="17" x14ac:dyDescent="0.25">
      <c r="A2342" s="3" t="s">
        <v>2178</v>
      </c>
      <c r="B2342" s="3">
        <f xml:space="preserve"> tjcm + rmfr</f>
        <v>31</v>
      </c>
      <c r="C2342" s="1"/>
    </row>
    <row r="2343" spans="1:3" ht="17" x14ac:dyDescent="0.25">
      <c r="A2343" s="3" t="s">
        <v>1892</v>
      </c>
      <c r="B2343" s="3">
        <f xml:space="preserve"> pwfn + qbhg</f>
        <v>7</v>
      </c>
      <c r="C2343" s="1"/>
    </row>
    <row r="2344" spans="1:3" ht="17" x14ac:dyDescent="0.25">
      <c r="A2344" s="3" t="s">
        <v>2632</v>
      </c>
      <c r="B2344" s="3">
        <f>3</f>
        <v>3</v>
      </c>
      <c r="C2344" s="1"/>
    </row>
    <row r="2345" spans="1:3" ht="17" x14ac:dyDescent="0.25">
      <c r="A2345" s="3" t="s">
        <v>102</v>
      </c>
      <c r="B2345" s="3">
        <f xml:space="preserve"> zjgt * rljl</f>
        <v>210</v>
      </c>
      <c r="C2345" s="1"/>
    </row>
    <row r="2346" spans="1:3" ht="17" x14ac:dyDescent="0.25">
      <c r="A2346" s="3" t="s">
        <v>2561</v>
      </c>
      <c r="B2346" s="3">
        <f xml:space="preserve"> htcn * nghl</f>
        <v>21</v>
      </c>
      <c r="C2346" s="1"/>
    </row>
    <row r="2347" spans="1:3" ht="17" x14ac:dyDescent="0.25">
      <c r="A2347" s="3" t="s">
        <v>752</v>
      </c>
      <c r="B2347" s="3">
        <f xml:space="preserve"> dnnp - lrpc</f>
        <v>18</v>
      </c>
      <c r="C2347" s="1"/>
    </row>
    <row r="2348" spans="1:3" ht="17" x14ac:dyDescent="0.25">
      <c r="A2348" s="3" t="s">
        <v>492</v>
      </c>
      <c r="B2348" s="3">
        <f>2</f>
        <v>2</v>
      </c>
      <c r="C2348" s="1"/>
    </row>
    <row r="2349" spans="1:3" ht="17" x14ac:dyDescent="0.25">
      <c r="A2349" s="3" t="s">
        <v>2298</v>
      </c>
      <c r="B2349" s="3">
        <f xml:space="preserve"> nsjn * swzl</f>
        <v>266</v>
      </c>
      <c r="C2349" s="1"/>
    </row>
    <row r="2350" spans="1:3" ht="17" x14ac:dyDescent="0.25">
      <c r="A2350" s="3" t="s">
        <v>585</v>
      </c>
      <c r="B2350" s="3">
        <f xml:space="preserve"> jppq * vqjt</f>
        <v>8</v>
      </c>
      <c r="C2350" s="1"/>
    </row>
    <row r="2351" spans="1:3" ht="17" x14ac:dyDescent="0.25">
      <c r="A2351" s="3" t="s">
        <v>1621</v>
      </c>
      <c r="B2351" s="3">
        <f xml:space="preserve"> vmhr * vbsv</f>
        <v>160</v>
      </c>
      <c r="C2351" s="1"/>
    </row>
    <row r="2352" spans="1:3" ht="17" x14ac:dyDescent="0.25">
      <c r="A2352" s="3" t="s">
        <v>2598</v>
      </c>
      <c r="B2352" s="3">
        <f xml:space="preserve"> fbvd * cflt</f>
        <v>822</v>
      </c>
      <c r="C2352" s="1"/>
    </row>
    <row r="2353" spans="1:3" ht="17" x14ac:dyDescent="0.25">
      <c r="A2353" s="3" t="s">
        <v>2206</v>
      </c>
      <c r="B2353" s="3">
        <f>2</f>
        <v>2</v>
      </c>
      <c r="C2353" s="1"/>
    </row>
    <row r="2354" spans="1:3" ht="17" x14ac:dyDescent="0.25">
      <c r="A2354" s="3" t="s">
        <v>2626</v>
      </c>
      <c r="B2354" s="3">
        <f>3</f>
        <v>3</v>
      </c>
      <c r="C2354" s="1"/>
    </row>
    <row r="2355" spans="1:3" ht="17" x14ac:dyDescent="0.25">
      <c r="A2355" s="3" t="s">
        <v>1526</v>
      </c>
      <c r="B2355" s="3">
        <f>11</f>
        <v>11</v>
      </c>
      <c r="C2355" s="1"/>
    </row>
    <row r="2356" spans="1:3" ht="17" x14ac:dyDescent="0.25">
      <c r="A2356" s="3" t="s">
        <v>2649</v>
      </c>
      <c r="B2356" s="3">
        <f>4</f>
        <v>4</v>
      </c>
      <c r="C2356" s="1"/>
    </row>
    <row r="2357" spans="1:3" ht="17" x14ac:dyDescent="0.25">
      <c r="A2357" s="3" t="s">
        <v>2568</v>
      </c>
      <c r="B2357" s="3">
        <f xml:space="preserve"> cthg + rnnq</f>
        <v>23</v>
      </c>
      <c r="C2357" s="1"/>
    </row>
    <row r="2358" spans="1:3" ht="17" x14ac:dyDescent="0.25">
      <c r="A2358" s="3" t="s">
        <v>2650</v>
      </c>
      <c r="B2358" s="3">
        <f xml:space="preserve"> rrvl / nzdm</f>
        <v>14</v>
      </c>
      <c r="C2358" s="1"/>
    </row>
    <row r="2359" spans="1:3" ht="17" x14ac:dyDescent="0.25">
      <c r="A2359" s="3" t="s">
        <v>1359</v>
      </c>
      <c r="B2359" s="3">
        <f xml:space="preserve"> lcmm + bpns</f>
        <v>25</v>
      </c>
      <c r="C2359" s="1"/>
    </row>
    <row r="2360" spans="1:3" ht="17" x14ac:dyDescent="0.25">
      <c r="A2360" s="3" t="s">
        <v>1789</v>
      </c>
      <c r="B2360" s="3">
        <f xml:space="preserve"> zptw + fwzt</f>
        <v>91</v>
      </c>
      <c r="C2360" s="1"/>
    </row>
    <row r="2361" spans="1:3" ht="17" x14ac:dyDescent="0.25">
      <c r="A2361" s="3" t="s">
        <v>2654</v>
      </c>
      <c r="B2361" s="3">
        <f xml:space="preserve"> ghtq + tjgn</f>
        <v>66</v>
      </c>
      <c r="C2361" s="1"/>
    </row>
    <row r="2362" spans="1:3" ht="17" x14ac:dyDescent="0.25">
      <c r="A2362" s="3" t="s">
        <v>121</v>
      </c>
      <c r="B2362" s="3">
        <f xml:space="preserve"> bmdc + srtj</f>
        <v>21</v>
      </c>
      <c r="C2362" s="1"/>
    </row>
    <row r="2363" spans="1:3" ht="17" x14ac:dyDescent="0.25">
      <c r="A2363" s="3" t="s">
        <v>1824</v>
      </c>
      <c r="B2363" s="3">
        <f xml:space="preserve"> dzbd * fjhr</f>
        <v>842</v>
      </c>
      <c r="C2363" s="1"/>
    </row>
    <row r="2364" spans="1:3" ht="17" x14ac:dyDescent="0.25">
      <c r="A2364" s="3" t="s">
        <v>2133</v>
      </c>
      <c r="B2364" s="3">
        <f>2</f>
        <v>2</v>
      </c>
      <c r="C2364" s="1"/>
    </row>
    <row r="2365" spans="1:3" ht="17" x14ac:dyDescent="0.25">
      <c r="A2365" s="3" t="s">
        <v>2513</v>
      </c>
      <c r="B2365" s="3">
        <f>2</f>
        <v>2</v>
      </c>
      <c r="C2365" s="1"/>
    </row>
    <row r="2366" spans="1:3" ht="17" x14ac:dyDescent="0.25">
      <c r="A2366" s="3" t="s">
        <v>1031</v>
      </c>
      <c r="B2366" s="3">
        <f xml:space="preserve"> tzgl * lmbf</f>
        <v>49</v>
      </c>
      <c r="C2366" s="1"/>
    </row>
    <row r="2367" spans="1:3" ht="17" x14ac:dyDescent="0.25">
      <c r="A2367" s="3" t="s">
        <v>1129</v>
      </c>
      <c r="B2367" s="3">
        <f>2</f>
        <v>2</v>
      </c>
      <c r="C2367" s="1"/>
    </row>
    <row r="2368" spans="1:3" ht="17" x14ac:dyDescent="0.25">
      <c r="A2368" s="3" t="s">
        <v>1835</v>
      </c>
      <c r="B2368" s="3">
        <f>3</f>
        <v>3</v>
      </c>
      <c r="C2368" s="1"/>
    </row>
    <row r="2369" spans="1:3" ht="17" x14ac:dyDescent="0.25">
      <c r="A2369" s="3" t="s">
        <v>829</v>
      </c>
      <c r="B2369" s="3">
        <f>3</f>
        <v>3</v>
      </c>
      <c r="C2369" s="1"/>
    </row>
    <row r="2370" spans="1:3" ht="17" x14ac:dyDescent="0.25">
      <c r="A2370" s="3" t="s">
        <v>2657</v>
      </c>
      <c r="B2370" s="3">
        <f xml:space="preserve"> lddv - htzn</f>
        <v>337</v>
      </c>
      <c r="C2370" s="1"/>
    </row>
    <row r="2371" spans="1:3" ht="17" x14ac:dyDescent="0.25">
      <c r="A2371" s="3" t="s">
        <v>2379</v>
      </c>
      <c r="B2371" s="3">
        <f>2</f>
        <v>2</v>
      </c>
      <c r="C2371" s="1"/>
    </row>
    <row r="2372" spans="1:3" ht="17" x14ac:dyDescent="0.25">
      <c r="A2372" s="3" t="s">
        <v>2563</v>
      </c>
      <c r="B2372" s="3">
        <f>14</f>
        <v>14</v>
      </c>
      <c r="C2372" s="1"/>
    </row>
    <row r="2373" spans="1:3" ht="17" x14ac:dyDescent="0.25">
      <c r="A2373" s="3" t="s">
        <v>2476</v>
      </c>
      <c r="B2373" s="3">
        <f>3</f>
        <v>3</v>
      </c>
      <c r="C2373" s="1"/>
    </row>
    <row r="2374" spans="1:3" ht="17" x14ac:dyDescent="0.25">
      <c r="A2374" s="3" t="s">
        <v>2416</v>
      </c>
      <c r="B2374" s="3">
        <f xml:space="preserve"> hvhj + fghp</f>
        <v>11</v>
      </c>
      <c r="C2374" s="1"/>
    </row>
    <row r="2375" spans="1:3" ht="17" x14ac:dyDescent="0.25">
      <c r="A2375" s="3" t="s">
        <v>2652</v>
      </c>
      <c r="B2375" s="3">
        <f xml:space="preserve"> fglh * lmzd</f>
        <v>8</v>
      </c>
      <c r="C2375" s="1"/>
    </row>
    <row r="2376" spans="1:3" ht="17" x14ac:dyDescent="0.25">
      <c r="A2376" s="3" t="s">
        <v>2658</v>
      </c>
      <c r="B2376" s="3">
        <f>12</f>
        <v>12</v>
      </c>
      <c r="C2376" s="1"/>
    </row>
    <row r="2377" spans="1:3" ht="17" x14ac:dyDescent="0.25">
      <c r="A2377" s="3" t="s">
        <v>566</v>
      </c>
      <c r="B2377" s="3">
        <f>2</f>
        <v>2</v>
      </c>
      <c r="C2377" s="1"/>
    </row>
    <row r="2378" spans="1:3" ht="17" x14ac:dyDescent="0.25">
      <c r="A2378" s="3" t="s">
        <v>603</v>
      </c>
      <c r="B2378" s="3">
        <f xml:space="preserve"> hjsw + bdsd</f>
        <v>33</v>
      </c>
      <c r="C2378" s="1"/>
    </row>
    <row r="2379" spans="1:3" ht="17" x14ac:dyDescent="0.25">
      <c r="A2379" s="3" t="s">
        <v>2659</v>
      </c>
      <c r="B2379" s="3">
        <f>5</f>
        <v>5</v>
      </c>
      <c r="C2379" s="1"/>
    </row>
    <row r="2380" spans="1:3" ht="17" x14ac:dyDescent="0.25">
      <c r="A2380" s="3" t="s">
        <v>2660</v>
      </c>
      <c r="B2380" s="3">
        <f>9</f>
        <v>9</v>
      </c>
      <c r="C2380" s="1"/>
    </row>
    <row r="2381" spans="1:3" ht="17" x14ac:dyDescent="0.25">
      <c r="A2381" s="3" t="s">
        <v>2636</v>
      </c>
      <c r="B2381" s="3">
        <f>1</f>
        <v>1</v>
      </c>
      <c r="C2381" s="1"/>
    </row>
    <row r="2382" spans="1:3" ht="17" x14ac:dyDescent="0.25">
      <c r="A2382" s="3" t="s">
        <v>1579</v>
      </c>
      <c r="B2382" s="3">
        <f xml:space="preserve"> nctf * srnv</f>
        <v>21</v>
      </c>
      <c r="C2382" s="1"/>
    </row>
    <row r="2383" spans="1:3" ht="17" x14ac:dyDescent="0.25">
      <c r="A2383" s="3" t="s">
        <v>225</v>
      </c>
      <c r="B2383" s="3">
        <f>4</f>
        <v>4</v>
      </c>
      <c r="C2383" s="1"/>
    </row>
    <row r="2384" spans="1:3" ht="17" x14ac:dyDescent="0.25">
      <c r="A2384" s="3" t="s">
        <v>2591</v>
      </c>
      <c r="B2384" s="3">
        <f xml:space="preserve"> cbws + tbqm</f>
        <v>2693</v>
      </c>
      <c r="C2384" s="1"/>
    </row>
    <row r="2385" spans="1:3" ht="17" x14ac:dyDescent="0.25">
      <c r="A2385" s="3" t="s">
        <v>2662</v>
      </c>
      <c r="B2385" s="3">
        <f>2</f>
        <v>2</v>
      </c>
      <c r="C2385" s="1"/>
    </row>
    <row r="2386" spans="1:3" ht="17" x14ac:dyDescent="0.25">
      <c r="A2386" s="3" t="s">
        <v>1685</v>
      </c>
      <c r="B2386" s="3">
        <f xml:space="preserve"> trmz * bsvd</f>
        <v>32</v>
      </c>
      <c r="C2386" s="1"/>
    </row>
    <row r="2387" spans="1:3" ht="17" x14ac:dyDescent="0.25">
      <c r="A2387" s="3" t="s">
        <v>2663</v>
      </c>
      <c r="B2387" s="3">
        <f xml:space="preserve"> gldc * wfdv</f>
        <v>8</v>
      </c>
      <c r="C2387" s="1"/>
    </row>
    <row r="2388" spans="1:3" ht="17" x14ac:dyDescent="0.25">
      <c r="A2388" s="3" t="s">
        <v>1614</v>
      </c>
      <c r="B2388" s="3">
        <f xml:space="preserve"> gldq * cgnv</f>
        <v>201</v>
      </c>
      <c r="C2388" s="1"/>
    </row>
    <row r="2389" spans="1:3" ht="17" x14ac:dyDescent="0.25">
      <c r="A2389" s="3" t="s">
        <v>2268</v>
      </c>
      <c r="B2389" s="3">
        <f xml:space="preserve"> brbv * pccf</f>
        <v>6</v>
      </c>
      <c r="C2389" s="1"/>
    </row>
    <row r="2390" spans="1:3" ht="17" x14ac:dyDescent="0.25">
      <c r="A2390" s="3" t="s">
        <v>2664</v>
      </c>
      <c r="B2390" s="3">
        <f xml:space="preserve"> dlfn * snlv</f>
        <v>35</v>
      </c>
      <c r="C2390" s="1"/>
    </row>
    <row r="2391" spans="1:3" ht="17" x14ac:dyDescent="0.25">
      <c r="A2391" s="3" t="s">
        <v>385</v>
      </c>
      <c r="B2391" s="3">
        <f xml:space="preserve"> wzjj + gwgm</f>
        <v>29</v>
      </c>
      <c r="C2391" s="1"/>
    </row>
    <row r="2392" spans="1:3" ht="17" x14ac:dyDescent="0.25">
      <c r="A2392" s="3" t="s">
        <v>2653</v>
      </c>
      <c r="B2392" s="3">
        <f xml:space="preserve"> frrv * hzrt</f>
        <v>65</v>
      </c>
      <c r="C2392" s="1"/>
    </row>
    <row r="2393" spans="1:3" ht="17" x14ac:dyDescent="0.25">
      <c r="A2393" s="3" t="s">
        <v>1833</v>
      </c>
      <c r="B2393" s="3">
        <f xml:space="preserve"> jdsb * hqmb</f>
        <v>110</v>
      </c>
      <c r="C2393" s="1"/>
    </row>
    <row r="2394" spans="1:3" ht="17" x14ac:dyDescent="0.25">
      <c r="A2394" s="3" t="s">
        <v>2665</v>
      </c>
      <c r="B2394" s="3">
        <f xml:space="preserve"> ndzz + chzs</f>
        <v>43</v>
      </c>
      <c r="C2394" s="1"/>
    </row>
    <row r="2395" spans="1:3" ht="17" x14ac:dyDescent="0.25">
      <c r="A2395" s="3" t="s">
        <v>2587</v>
      </c>
      <c r="B2395" s="3">
        <f xml:space="preserve"> hwmg + chdw</f>
        <v>13</v>
      </c>
      <c r="C2395" s="1"/>
    </row>
    <row r="2396" spans="1:3" ht="17" x14ac:dyDescent="0.25">
      <c r="A2396" s="3" t="s">
        <v>2617</v>
      </c>
      <c r="B2396" s="3">
        <f xml:space="preserve"> gmwp * qmfz</f>
        <v>14</v>
      </c>
      <c r="C2396" s="1"/>
    </row>
    <row r="2397" spans="1:3" ht="17" x14ac:dyDescent="0.25">
      <c r="A2397" s="3" t="s">
        <v>2129</v>
      </c>
      <c r="B2397" s="3">
        <f xml:space="preserve"> vjzr * szlw</f>
        <v>38</v>
      </c>
      <c r="C2397" s="1"/>
    </row>
    <row r="2398" spans="1:3" ht="17" x14ac:dyDescent="0.25">
      <c r="A2398" s="3" t="s">
        <v>1168</v>
      </c>
      <c r="B2398" s="3">
        <f xml:space="preserve"> ttbb + dqvf</f>
        <v>37</v>
      </c>
      <c r="C2398" s="1"/>
    </row>
    <row r="2399" spans="1:3" ht="17" x14ac:dyDescent="0.25">
      <c r="A2399" s="3" t="s">
        <v>343</v>
      </c>
      <c r="B2399" s="3">
        <f>9</f>
        <v>9</v>
      </c>
      <c r="C2399" s="1"/>
    </row>
    <row r="2400" spans="1:3" ht="17" x14ac:dyDescent="0.25">
      <c r="A2400" s="3" t="s">
        <v>2610</v>
      </c>
      <c r="B2400" s="3">
        <f>15</f>
        <v>15</v>
      </c>
      <c r="C2400" s="1"/>
    </row>
    <row r="2401" spans="1:3" ht="17" x14ac:dyDescent="0.25">
      <c r="A2401" s="3" t="s">
        <v>318</v>
      </c>
      <c r="B2401" s="3">
        <f>2</f>
        <v>2</v>
      </c>
      <c r="C2401" s="1"/>
    </row>
    <row r="2402" spans="1:3" ht="17" x14ac:dyDescent="0.25">
      <c r="A2402" s="3" t="s">
        <v>1588</v>
      </c>
      <c r="B2402" s="3">
        <f>3</f>
        <v>3</v>
      </c>
      <c r="C2402" s="1"/>
    </row>
    <row r="2403" spans="1:3" ht="17" x14ac:dyDescent="0.25">
      <c r="A2403" s="3" t="s">
        <v>638</v>
      </c>
      <c r="B2403" s="3">
        <f>2</f>
        <v>2</v>
      </c>
      <c r="C2403" s="1"/>
    </row>
    <row r="2404" spans="1:3" ht="17" x14ac:dyDescent="0.25">
      <c r="A2404" s="3" t="s">
        <v>2515</v>
      </c>
      <c r="B2404" s="3">
        <f xml:space="preserve"> lctb + wzph</f>
        <v>349</v>
      </c>
      <c r="C2404" s="1"/>
    </row>
    <row r="2405" spans="1:3" ht="17" x14ac:dyDescent="0.25">
      <c r="A2405" s="3" t="s">
        <v>215</v>
      </c>
      <c r="B2405" s="3">
        <f xml:space="preserve"> pvqq + gczg</f>
        <v>7</v>
      </c>
      <c r="C2405" s="1"/>
    </row>
    <row r="2406" spans="1:3" ht="17" x14ac:dyDescent="0.25">
      <c r="A2406" s="3" t="s">
        <v>743</v>
      </c>
      <c r="B2406" s="3">
        <f>2</f>
        <v>2</v>
      </c>
      <c r="C2406" s="1"/>
    </row>
    <row r="2407" spans="1:3" ht="17" x14ac:dyDescent="0.25">
      <c r="A2407" s="3" t="s">
        <v>2589</v>
      </c>
      <c r="B2407" s="3">
        <f>14</f>
        <v>14</v>
      </c>
      <c r="C2407" s="1"/>
    </row>
    <row r="2408" spans="1:3" ht="17" x14ac:dyDescent="0.25">
      <c r="A2408" s="3" t="s">
        <v>2556</v>
      </c>
      <c r="B2408" s="3">
        <f xml:space="preserve"> jllh * dwww</f>
        <v>120</v>
      </c>
      <c r="C2408" s="1"/>
    </row>
    <row r="2409" spans="1:3" ht="17" x14ac:dyDescent="0.25">
      <c r="A2409" s="3" t="s">
        <v>887</v>
      </c>
      <c r="B2409" s="3">
        <f xml:space="preserve"> nnhf * twsc</f>
        <v>9</v>
      </c>
      <c r="C2409" s="1"/>
    </row>
    <row r="2410" spans="1:3" ht="17" x14ac:dyDescent="0.25">
      <c r="A2410" s="3" t="s">
        <v>967</v>
      </c>
      <c r="B2410" s="3">
        <f xml:space="preserve"> nvns * wvcs</f>
        <v>49</v>
      </c>
      <c r="C2410" s="1"/>
    </row>
    <row r="2411" spans="1:3" ht="17" x14ac:dyDescent="0.25">
      <c r="A2411" s="3" t="s">
        <v>84</v>
      </c>
      <c r="B2411" s="3">
        <f>2</f>
        <v>2</v>
      </c>
      <c r="C2411" s="1"/>
    </row>
    <row r="2412" spans="1:3" ht="17" x14ac:dyDescent="0.25">
      <c r="A2412" s="3" t="s">
        <v>2661</v>
      </c>
      <c r="B2412" s="3">
        <f xml:space="preserve"> bhdt + wjsq</f>
        <v>2367</v>
      </c>
      <c r="C2412" s="1"/>
    </row>
    <row r="2413" spans="1:3" ht="17" x14ac:dyDescent="0.25">
      <c r="A2413" s="3" t="s">
        <v>349</v>
      </c>
      <c r="B2413" s="3">
        <f xml:space="preserve"> gsft * mnrs</f>
        <v>262</v>
      </c>
      <c r="C2413" s="1"/>
    </row>
    <row r="2414" spans="1:3" ht="17" x14ac:dyDescent="0.25">
      <c r="A2414" s="3" t="s">
        <v>2554</v>
      </c>
      <c r="B2414" s="3">
        <f xml:space="preserve"> wvrm + hlcm</f>
        <v>1565</v>
      </c>
      <c r="C2414" s="1"/>
    </row>
    <row r="2415" spans="1:3" ht="17" x14ac:dyDescent="0.25">
      <c r="A2415" s="3" t="s">
        <v>2049</v>
      </c>
      <c r="B2415" s="3">
        <f>2</f>
        <v>2</v>
      </c>
      <c r="C2415" s="1"/>
    </row>
    <row r="2416" spans="1:3" ht="17" x14ac:dyDescent="0.25">
      <c r="A2416" s="3" t="s">
        <v>1042</v>
      </c>
      <c r="B2416" s="3">
        <f>1</f>
        <v>1</v>
      </c>
      <c r="C2416" s="1"/>
    </row>
    <row r="2417" spans="1:3" ht="17" x14ac:dyDescent="0.25">
      <c r="A2417" s="3" t="s">
        <v>2508</v>
      </c>
      <c r="B2417" s="3">
        <f xml:space="preserve"> vzhl + wzhp</f>
        <v>23</v>
      </c>
      <c r="C2417" s="1"/>
    </row>
    <row r="2418" spans="1:3" ht="17" x14ac:dyDescent="0.25">
      <c r="A2418" s="3" t="s">
        <v>2083</v>
      </c>
      <c r="B2418" s="3">
        <f>2</f>
        <v>2</v>
      </c>
      <c r="C2418" s="1"/>
    </row>
    <row r="2419" spans="1:3" ht="17" x14ac:dyDescent="0.25">
      <c r="A2419" s="3" t="s">
        <v>546</v>
      </c>
      <c r="B2419" s="3">
        <f xml:space="preserve"> whzz * nbcp</f>
        <v>22</v>
      </c>
      <c r="C2419" s="1"/>
    </row>
    <row r="2420" spans="1:3" ht="17" x14ac:dyDescent="0.25">
      <c r="A2420" s="3" t="s">
        <v>1229</v>
      </c>
      <c r="B2420" s="3">
        <f>3</f>
        <v>3</v>
      </c>
      <c r="C2420" s="1"/>
    </row>
    <row r="2421" spans="1:3" ht="17" x14ac:dyDescent="0.25">
      <c r="A2421" s="3" t="s">
        <v>2540</v>
      </c>
      <c r="B2421" s="3">
        <f xml:space="preserve"> vgzr * bmmg</f>
        <v>14</v>
      </c>
      <c r="C2421" s="1"/>
    </row>
    <row r="2422" spans="1:3" ht="17" x14ac:dyDescent="0.25">
      <c r="A2422" s="3" t="s">
        <v>2557</v>
      </c>
      <c r="B2422" s="3">
        <f xml:space="preserve"> qwns + tmjs</f>
        <v>31</v>
      </c>
      <c r="C2422" s="1"/>
    </row>
    <row r="2423" spans="1:3" ht="17" x14ac:dyDescent="0.25">
      <c r="A2423" s="3" t="s">
        <v>2670</v>
      </c>
      <c r="B2423" s="3">
        <f xml:space="preserve"> rmfw * lpqn</f>
        <v>33</v>
      </c>
      <c r="C2423" s="1"/>
    </row>
    <row r="2424" spans="1:3" ht="17" x14ac:dyDescent="0.25">
      <c r="A2424" s="3" t="s">
        <v>2526</v>
      </c>
      <c r="B2424" s="3">
        <f>2</f>
        <v>2</v>
      </c>
      <c r="C2424" s="1"/>
    </row>
    <row r="2425" spans="1:3" ht="17" x14ac:dyDescent="0.25">
      <c r="A2425" s="3" t="s">
        <v>2149</v>
      </c>
      <c r="B2425" s="3">
        <f xml:space="preserve"> hbdh + rnqh</f>
        <v>408</v>
      </c>
      <c r="C2425" s="1"/>
    </row>
    <row r="2426" spans="1:3" ht="17" x14ac:dyDescent="0.25">
      <c r="A2426" s="3" t="s">
        <v>1935</v>
      </c>
      <c r="B2426" s="3">
        <f xml:space="preserve"> dlmj * ltnc</f>
        <v>22</v>
      </c>
      <c r="C2426" s="1"/>
    </row>
    <row r="2427" spans="1:3" ht="17" x14ac:dyDescent="0.25">
      <c r="A2427" s="3" t="s">
        <v>1433</v>
      </c>
      <c r="B2427" s="3">
        <f xml:space="preserve"> wdgw + prgp</f>
        <v>19</v>
      </c>
      <c r="C2427" s="1"/>
    </row>
    <row r="2428" spans="1:3" ht="17" x14ac:dyDescent="0.25">
      <c r="A2428" s="3" t="s">
        <v>1334</v>
      </c>
      <c r="B2428" s="3">
        <f>3</f>
        <v>3</v>
      </c>
      <c r="C2428" s="1"/>
    </row>
    <row r="2429" spans="1:3" ht="17" x14ac:dyDescent="0.25">
      <c r="A2429" s="3" t="s">
        <v>1494</v>
      </c>
      <c r="B2429" s="3">
        <f>11</f>
        <v>11</v>
      </c>
      <c r="C2429" s="1"/>
    </row>
    <row r="2430" spans="1:3" ht="17" x14ac:dyDescent="0.25">
      <c r="A2430" s="3" t="s">
        <v>1344</v>
      </c>
      <c r="B2430" s="3">
        <f>19</f>
        <v>19</v>
      </c>
      <c r="C2430" s="1"/>
    </row>
    <row r="2431" spans="1:3" ht="17" x14ac:dyDescent="0.25">
      <c r="A2431" s="3" t="s">
        <v>2519</v>
      </c>
      <c r="B2431" s="3">
        <f xml:space="preserve"> bdds * bbwp</f>
        <v>1822</v>
      </c>
      <c r="C2431" s="1"/>
    </row>
    <row r="2432" spans="1:3" ht="17" x14ac:dyDescent="0.25">
      <c r="A2432" s="3" t="s">
        <v>1336</v>
      </c>
      <c r="B2432" s="3">
        <f xml:space="preserve"> sndc * tvlz</f>
        <v>9</v>
      </c>
      <c r="C2432" s="1"/>
    </row>
    <row r="2433" spans="1:3" ht="17" x14ac:dyDescent="0.25">
      <c r="A2433" s="3" t="s">
        <v>1947</v>
      </c>
      <c r="B2433" s="3">
        <f xml:space="preserve"> msbj + nsjg</f>
        <v>47</v>
      </c>
      <c r="C2433" s="1"/>
    </row>
    <row r="2434" spans="1:3" ht="17" x14ac:dyDescent="0.25">
      <c r="A2434" s="3" t="s">
        <v>2673</v>
      </c>
      <c r="B2434" s="3">
        <f xml:space="preserve"> mzwg + gwlf</f>
        <v>173</v>
      </c>
      <c r="C2434" s="1"/>
    </row>
    <row r="2435" spans="1:3" ht="17" x14ac:dyDescent="0.25">
      <c r="A2435" s="3" t="s">
        <v>2104</v>
      </c>
      <c r="B2435" s="3">
        <f xml:space="preserve"> qtrb + tsvq</f>
        <v>41</v>
      </c>
      <c r="C2435" s="1"/>
    </row>
    <row r="2436" spans="1:3" ht="17" x14ac:dyDescent="0.25">
      <c r="A2436" s="3" t="s">
        <v>578</v>
      </c>
      <c r="B2436" s="3">
        <f xml:space="preserve"> dwqw * jdqq</f>
        <v>135</v>
      </c>
      <c r="C2436" s="1"/>
    </row>
    <row r="2437" spans="1:3" ht="17" x14ac:dyDescent="0.25">
      <c r="A2437" s="3" t="s">
        <v>1246</v>
      </c>
      <c r="B2437" s="3">
        <f xml:space="preserve"> jhpf * csbn</f>
        <v>16</v>
      </c>
      <c r="C2437" s="1"/>
    </row>
    <row r="2438" spans="1:3" ht="17" x14ac:dyDescent="0.25">
      <c r="A2438" s="3" t="s">
        <v>2651</v>
      </c>
      <c r="B2438" s="3">
        <f xml:space="preserve"> cqwn * fmfm</f>
        <v>112</v>
      </c>
      <c r="C2438" s="1"/>
    </row>
    <row r="2439" spans="1:3" ht="17" x14ac:dyDescent="0.25">
      <c r="A2439" s="3" t="s">
        <v>2516</v>
      </c>
      <c r="B2439" s="3">
        <f>2</f>
        <v>2</v>
      </c>
      <c r="C2439" s="1"/>
    </row>
    <row r="2440" spans="1:3" ht="17" x14ac:dyDescent="0.25">
      <c r="A2440" s="3" t="s">
        <v>2469</v>
      </c>
      <c r="B2440" s="3">
        <f xml:space="preserve"> hvlg + qgld</f>
        <v>27</v>
      </c>
      <c r="C2440" s="1"/>
    </row>
    <row r="2441" spans="1:3" ht="17" x14ac:dyDescent="0.25">
      <c r="A2441" s="3" t="s">
        <v>2148</v>
      </c>
      <c r="B2441" s="3">
        <f xml:space="preserve"> mdcb + mspz</f>
        <v>55</v>
      </c>
      <c r="C2441" s="1"/>
    </row>
    <row r="2442" spans="1:3" ht="17" x14ac:dyDescent="0.25">
      <c r="A2442" s="3" t="s">
        <v>816</v>
      </c>
      <c r="B2442" s="3">
        <f>3</f>
        <v>3</v>
      </c>
      <c r="C2442" s="1"/>
    </row>
    <row r="2443" spans="1:3" ht="17" x14ac:dyDescent="0.25">
      <c r="A2443" s="3" t="s">
        <v>972</v>
      </c>
      <c r="B2443" s="3">
        <f xml:space="preserve"> trcd - ncrb</f>
        <v>77539699</v>
      </c>
      <c r="C2443" s="1"/>
    </row>
    <row r="2444" spans="1:3" ht="17" x14ac:dyDescent="0.25">
      <c r="A2444" s="3" t="s">
        <v>1906</v>
      </c>
      <c r="B2444" s="3">
        <f>6</f>
        <v>6</v>
      </c>
      <c r="C2444" s="1"/>
    </row>
    <row r="2445" spans="1:3" ht="17" x14ac:dyDescent="0.25">
      <c r="A2445" s="3" t="s">
        <v>1147</v>
      </c>
      <c r="B2445" s="3">
        <f xml:space="preserve"> bffq * hglp</f>
        <v>258</v>
      </c>
      <c r="C2445" s="1"/>
    </row>
    <row r="2446" spans="1:3" ht="17" x14ac:dyDescent="0.25">
      <c r="A2446" s="3" t="s">
        <v>2212</v>
      </c>
      <c r="B2446" s="3">
        <f xml:space="preserve"> nszr + tgcd</f>
        <v>37</v>
      </c>
      <c r="C2446" s="1"/>
    </row>
    <row r="2447" spans="1:3" ht="17" x14ac:dyDescent="0.25">
      <c r="A2447" s="3" t="s">
        <v>2604</v>
      </c>
      <c r="B2447" s="3">
        <f>3</f>
        <v>3</v>
      </c>
      <c r="C2447" s="1"/>
    </row>
    <row r="2448" spans="1:3" ht="17" x14ac:dyDescent="0.25">
      <c r="A2448" s="3" t="s">
        <v>1997</v>
      </c>
      <c r="B2448" s="3">
        <f xml:space="preserve"> bmds + fpdc</f>
        <v>7</v>
      </c>
      <c r="C2448" s="1"/>
    </row>
    <row r="2449" spans="1:3" ht="17" x14ac:dyDescent="0.25">
      <c r="A2449" s="3" t="s">
        <v>2371</v>
      </c>
      <c r="B2449" s="3">
        <f>4</f>
        <v>4</v>
      </c>
      <c r="C2449" s="1"/>
    </row>
    <row r="2450" spans="1:3" ht="17" x14ac:dyDescent="0.25">
      <c r="A2450" s="3" t="s">
        <v>281</v>
      </c>
      <c r="B2450" s="3">
        <f xml:space="preserve"> dssz + twqw</f>
        <v>29</v>
      </c>
      <c r="C2450" s="1"/>
    </row>
    <row r="2451" spans="1:3" ht="17" x14ac:dyDescent="0.25">
      <c r="A2451" s="3" t="s">
        <v>2230</v>
      </c>
      <c r="B2451" s="3">
        <f xml:space="preserve"> fbbh * jtpm</f>
        <v>46</v>
      </c>
      <c r="C2451" s="1"/>
    </row>
    <row r="2452" spans="1:3" ht="17" x14ac:dyDescent="0.25">
      <c r="A2452" s="3" t="s">
        <v>2039</v>
      </c>
      <c r="B2452" s="3">
        <f xml:space="preserve"> frjf * stnh</f>
        <v>346</v>
      </c>
      <c r="C2452" s="1"/>
    </row>
    <row r="2453" spans="1:3" ht="17" x14ac:dyDescent="0.25">
      <c r="A2453" s="3" t="s">
        <v>1573</v>
      </c>
      <c r="B2453" s="3">
        <f xml:space="preserve"> rrdq + tgts</f>
        <v>10226030200201</v>
      </c>
      <c r="C2453" s="1"/>
    </row>
    <row r="2454" spans="1:3" ht="17" x14ac:dyDescent="0.25">
      <c r="A2454" s="3" t="s">
        <v>2010</v>
      </c>
      <c r="B2454" s="3">
        <f xml:space="preserve"> mbrr + hfmd</f>
        <v>17</v>
      </c>
      <c r="C2454" s="1"/>
    </row>
    <row r="2455" spans="1:3" ht="17" x14ac:dyDescent="0.25">
      <c r="A2455" s="3" t="s">
        <v>666</v>
      </c>
      <c r="B2455" s="3">
        <f>2</f>
        <v>2</v>
      </c>
      <c r="C2455" s="1"/>
    </row>
    <row r="2456" spans="1:3" ht="17" x14ac:dyDescent="0.25">
      <c r="A2456" s="3" t="s">
        <v>1018</v>
      </c>
      <c r="B2456" s="3">
        <f xml:space="preserve"> wbft + vmtd</f>
        <v>353</v>
      </c>
      <c r="C2456" s="1"/>
    </row>
    <row r="2457" spans="1:3" ht="17" x14ac:dyDescent="0.25">
      <c r="A2457" s="3" t="s">
        <v>2559</v>
      </c>
      <c r="B2457" s="3">
        <f xml:space="preserve"> fbdq + ztsp</f>
        <v>89</v>
      </c>
      <c r="C2457" s="1"/>
    </row>
    <row r="2458" spans="1:3" ht="17" x14ac:dyDescent="0.25">
      <c r="A2458" s="3" t="s">
        <v>2583</v>
      </c>
      <c r="B2458" s="3">
        <f xml:space="preserve"> fvbq * pspv</f>
        <v>64</v>
      </c>
      <c r="C2458" s="1"/>
    </row>
    <row r="2459" spans="1:3" ht="17" x14ac:dyDescent="0.25">
      <c r="A2459" s="3" t="s">
        <v>2316</v>
      </c>
      <c r="B2459" s="3">
        <f>20</f>
        <v>20</v>
      </c>
      <c r="C2459" s="1"/>
    </row>
    <row r="2460" spans="1:3" ht="17" x14ac:dyDescent="0.25">
      <c r="A2460" s="3" t="s">
        <v>2565</v>
      </c>
      <c r="B2460" s="3">
        <f xml:space="preserve"> ttlg * ntrd</f>
        <v>56</v>
      </c>
      <c r="C2460" s="1"/>
    </row>
    <row r="2461" spans="1:3" ht="17" x14ac:dyDescent="0.25">
      <c r="A2461" s="3" t="s">
        <v>2539</v>
      </c>
      <c r="B2461" s="3">
        <f>5</f>
        <v>5</v>
      </c>
      <c r="C2461" s="1"/>
    </row>
    <row r="2462" spans="1:3" ht="17" x14ac:dyDescent="0.25">
      <c r="A2462" s="3" t="s">
        <v>2061</v>
      </c>
      <c r="B2462" s="3">
        <f>12</f>
        <v>12</v>
      </c>
      <c r="C2462" s="1"/>
    </row>
    <row r="2463" spans="1:3" ht="17" x14ac:dyDescent="0.25">
      <c r="A2463" s="3" t="s">
        <v>2677</v>
      </c>
      <c r="B2463" s="3">
        <f xml:space="preserve"> zmwp * jqff</f>
        <v>9</v>
      </c>
      <c r="C2463" s="1"/>
    </row>
    <row r="2464" spans="1:3" ht="17" x14ac:dyDescent="0.25">
      <c r="A2464" s="3" t="s">
        <v>2606</v>
      </c>
      <c r="B2464" s="3">
        <f xml:space="preserve"> bzzl + zhmd</f>
        <v>1423</v>
      </c>
      <c r="C2464" s="1"/>
    </row>
    <row r="2465" spans="1:3" ht="17" x14ac:dyDescent="0.25">
      <c r="A2465" s="3" t="s">
        <v>1909</v>
      </c>
      <c r="B2465" s="3">
        <f>9</f>
        <v>9</v>
      </c>
      <c r="C2465" s="1"/>
    </row>
    <row r="2466" spans="1:3" ht="17" x14ac:dyDescent="0.25">
      <c r="A2466" s="3" t="s">
        <v>1948</v>
      </c>
      <c r="B2466" s="3">
        <f>4</f>
        <v>4</v>
      </c>
      <c r="C2466" s="1"/>
    </row>
    <row r="2467" spans="1:3" ht="17" x14ac:dyDescent="0.25">
      <c r="A2467" s="3" t="s">
        <v>627</v>
      </c>
      <c r="B2467" s="3">
        <f>2</f>
        <v>2</v>
      </c>
      <c r="C2467" s="1"/>
    </row>
    <row r="2468" spans="1:3" ht="17" x14ac:dyDescent="0.25">
      <c r="A2468" s="3" t="s">
        <v>2671</v>
      </c>
      <c r="B2468" s="3">
        <f xml:space="preserve"> jvtr + jnjq</f>
        <v>11</v>
      </c>
      <c r="C2468" s="1"/>
    </row>
    <row r="2469" spans="1:3" ht="17" x14ac:dyDescent="0.25">
      <c r="A2469" s="3" t="s">
        <v>2448</v>
      </c>
      <c r="B2469" s="3">
        <f xml:space="preserve"> pzmr * lqqm</f>
        <v>1405363724</v>
      </c>
      <c r="C2469" s="1"/>
    </row>
    <row r="2470" spans="1:3" ht="17" x14ac:dyDescent="0.25">
      <c r="A2470" s="3" t="s">
        <v>431</v>
      </c>
      <c r="B2470" s="3">
        <f xml:space="preserve"> rdgb / gttj</f>
        <v>5681127889733</v>
      </c>
      <c r="C2470" s="1"/>
    </row>
    <row r="2471" spans="1:3" ht="17" x14ac:dyDescent="0.25">
      <c r="A2471" s="3" t="s">
        <v>2393</v>
      </c>
      <c r="B2471" s="3">
        <f>12</f>
        <v>12</v>
      </c>
      <c r="C2471" s="1"/>
    </row>
    <row r="2472" spans="1:3" ht="17" x14ac:dyDescent="0.25">
      <c r="A2472" s="3" t="s">
        <v>1795</v>
      </c>
      <c r="B2472" s="3">
        <f>7</f>
        <v>7</v>
      </c>
      <c r="C2472" s="1"/>
    </row>
    <row r="2473" spans="1:3" ht="17" x14ac:dyDescent="0.25">
      <c r="A2473" s="3" t="s">
        <v>402</v>
      </c>
      <c r="B2473" s="3">
        <f>13</f>
        <v>13</v>
      </c>
      <c r="C2473" s="1"/>
    </row>
    <row r="2474" spans="1:3" ht="17" x14ac:dyDescent="0.25">
      <c r="A2474" s="3" t="s">
        <v>2679</v>
      </c>
      <c r="B2474" s="3">
        <f>1</f>
        <v>1</v>
      </c>
      <c r="C2474" s="1"/>
    </row>
    <row r="2475" spans="1:3" ht="17" x14ac:dyDescent="0.25">
      <c r="A2475" s="3" t="s">
        <v>2575</v>
      </c>
      <c r="B2475" s="3">
        <f>2</f>
        <v>2</v>
      </c>
      <c r="C2475" s="1"/>
    </row>
    <row r="2476" spans="1:3" ht="17" x14ac:dyDescent="0.25">
      <c r="A2476" s="3" t="s">
        <v>2680</v>
      </c>
      <c r="B2476" s="3">
        <f>9</f>
        <v>9</v>
      </c>
      <c r="C2476" s="1"/>
    </row>
    <row r="2477" spans="1:3" ht="17" x14ac:dyDescent="0.25">
      <c r="A2477" s="3" t="s">
        <v>2062</v>
      </c>
      <c r="B2477" s="3">
        <f>3</f>
        <v>3</v>
      </c>
      <c r="C2477" s="1"/>
    </row>
    <row r="2478" spans="1:3" ht="17" x14ac:dyDescent="0.25">
      <c r="A2478" s="3" t="s">
        <v>2451</v>
      </c>
      <c r="B2478" s="3">
        <f>3</f>
        <v>3</v>
      </c>
      <c r="C2478" s="1"/>
    </row>
    <row r="2479" spans="1:3" ht="17" x14ac:dyDescent="0.25">
      <c r="A2479" s="3" t="s">
        <v>2619</v>
      </c>
      <c r="B2479" s="3">
        <f xml:space="preserve"> swth / wzwp</f>
        <v>60</v>
      </c>
      <c r="C2479" s="1"/>
    </row>
    <row r="2480" spans="1:3" ht="17" x14ac:dyDescent="0.25">
      <c r="A2480" s="3" t="s">
        <v>701</v>
      </c>
      <c r="B2480" s="3">
        <f xml:space="preserve"> slcg + pnwh</f>
        <v>23</v>
      </c>
      <c r="C2480" s="1"/>
    </row>
    <row r="2481" spans="1:3" ht="17" x14ac:dyDescent="0.25">
      <c r="A2481" s="3" t="s">
        <v>2101</v>
      </c>
      <c r="B2481" s="3">
        <f>2</f>
        <v>2</v>
      </c>
      <c r="C2481" s="1"/>
    </row>
    <row r="2482" spans="1:3" ht="17" x14ac:dyDescent="0.25">
      <c r="A2482" s="3" t="s">
        <v>1330</v>
      </c>
      <c r="B2482" s="3">
        <f xml:space="preserve"> mnrh + cpfb</f>
        <v>692</v>
      </c>
      <c r="C2482" s="1"/>
    </row>
    <row r="2483" spans="1:3" ht="17" x14ac:dyDescent="0.25">
      <c r="A2483" s="3" t="s">
        <v>2682</v>
      </c>
      <c r="B2483" s="3">
        <f>2</f>
        <v>2</v>
      </c>
      <c r="C2483" s="1"/>
    </row>
    <row r="2484" spans="1:3" ht="17" x14ac:dyDescent="0.25">
      <c r="A2484" s="3" t="s">
        <v>2512</v>
      </c>
      <c r="B2484" s="3">
        <f xml:space="preserve"> fvqm / brbh</f>
        <v>31</v>
      </c>
      <c r="C2484" s="1"/>
    </row>
    <row r="2485" spans="1:3" ht="17" x14ac:dyDescent="0.25">
      <c r="A2485" s="3" t="s">
        <v>1847</v>
      </c>
      <c r="B2485" s="3">
        <f>3</f>
        <v>3</v>
      </c>
      <c r="C2485" s="1"/>
    </row>
    <row r="2486" spans="1:3" ht="17" x14ac:dyDescent="0.25">
      <c r="A2486" s="3" t="s">
        <v>2683</v>
      </c>
      <c r="B2486" s="3">
        <f xml:space="preserve"> tfml + phpv</f>
        <v>1861</v>
      </c>
      <c r="C2486" s="1"/>
    </row>
    <row r="2487" spans="1:3" ht="17" x14ac:dyDescent="0.25">
      <c r="A2487" s="3" t="s">
        <v>2119</v>
      </c>
      <c r="B2487" s="3">
        <f>3</f>
        <v>3</v>
      </c>
      <c r="C2487" s="1"/>
    </row>
    <row r="2488" spans="1:3" ht="17" x14ac:dyDescent="0.25">
      <c r="A2488" s="3" t="s">
        <v>1524</v>
      </c>
      <c r="B2488" s="3">
        <f xml:space="preserve"> nnfl + hbqw</f>
        <v>11</v>
      </c>
      <c r="C2488" s="1"/>
    </row>
    <row r="2489" spans="1:3" ht="17" x14ac:dyDescent="0.25">
      <c r="A2489" s="3" t="s">
        <v>1576</v>
      </c>
      <c r="B2489" s="3">
        <f xml:space="preserve"> nsvp + rlhc</f>
        <v>449</v>
      </c>
      <c r="C2489" s="1"/>
    </row>
    <row r="2490" spans="1:3" ht="17" x14ac:dyDescent="0.25">
      <c r="A2490" s="3" t="s">
        <v>1204</v>
      </c>
      <c r="B2490" s="3">
        <f xml:space="preserve"> dzwg * mfdb</f>
        <v>58701523</v>
      </c>
      <c r="C2490" s="1"/>
    </row>
    <row r="2491" spans="1:3" ht="17" x14ac:dyDescent="0.25">
      <c r="A2491" s="3" t="s">
        <v>2686</v>
      </c>
      <c r="B2491" s="3">
        <f xml:space="preserve"> pbps + fbrs</f>
        <v>6</v>
      </c>
      <c r="C2491" s="1"/>
    </row>
    <row r="2492" spans="1:3" ht="17" x14ac:dyDescent="0.25">
      <c r="A2492" s="3" t="s">
        <v>1136</v>
      </c>
      <c r="B2492" s="3">
        <f>3</f>
        <v>3</v>
      </c>
      <c r="C2492" s="1"/>
    </row>
    <row r="2493" spans="1:3" ht="17" x14ac:dyDescent="0.25">
      <c r="A2493" s="3" t="s">
        <v>2226</v>
      </c>
      <c r="B2493" s="3">
        <f xml:space="preserve"> pbfd * blpr</f>
        <v>15</v>
      </c>
      <c r="C2493" s="1"/>
    </row>
    <row r="2494" spans="1:3" ht="17" x14ac:dyDescent="0.25">
      <c r="A2494" s="3" t="s">
        <v>2310</v>
      </c>
      <c r="B2494" s="3">
        <f xml:space="preserve"> vblr * frsn</f>
        <v>25</v>
      </c>
      <c r="C2494" s="1"/>
    </row>
    <row r="2495" spans="1:3" ht="17" x14ac:dyDescent="0.25">
      <c r="A2495" s="3" t="s">
        <v>2687</v>
      </c>
      <c r="B2495" s="3">
        <f xml:space="preserve"> pwdz * frgg</f>
        <v>4121</v>
      </c>
      <c r="C2495" s="1"/>
    </row>
    <row r="2496" spans="1:3" ht="17" x14ac:dyDescent="0.25">
      <c r="A2496" s="3" t="s">
        <v>2685</v>
      </c>
      <c r="B2496" s="3">
        <f>2</f>
        <v>2</v>
      </c>
      <c r="C2496" s="1"/>
    </row>
    <row r="2497" spans="1:3" ht="17" x14ac:dyDescent="0.25">
      <c r="A2497" s="3" t="s">
        <v>2374</v>
      </c>
      <c r="B2497" s="3">
        <f xml:space="preserve"> fqrh + sqjl</f>
        <v>204520604016504</v>
      </c>
      <c r="C2497" s="1"/>
    </row>
    <row r="2498" spans="1:3" ht="17" x14ac:dyDescent="0.25">
      <c r="A2498" s="3" t="s">
        <v>8</v>
      </c>
      <c r="B2498" s="3">
        <f xml:space="preserve"> ggzt + tgjj</f>
        <v>22724511557718</v>
      </c>
      <c r="C2498" s="1"/>
    </row>
    <row r="2499" spans="1:3" ht="17" x14ac:dyDescent="0.25">
      <c r="A2499" s="3" t="s">
        <v>2690</v>
      </c>
      <c r="B2499" s="3">
        <f xml:space="preserve"> thqs + pccp</f>
        <v>38</v>
      </c>
      <c r="C2499" s="1"/>
    </row>
    <row r="2500" spans="1:3" ht="17" x14ac:dyDescent="0.25">
      <c r="A2500" s="3" t="s">
        <v>2381</v>
      </c>
      <c r="B2500" s="3">
        <f xml:space="preserve"> tsfz * vztj</f>
        <v>54</v>
      </c>
      <c r="C2500" s="1"/>
    </row>
    <row r="2501" spans="1:3" ht="17" x14ac:dyDescent="0.25">
      <c r="A2501" s="3" t="s">
        <v>2691</v>
      </c>
      <c r="B2501" s="3">
        <f xml:space="preserve"> zjzs * dbzz</f>
        <v>7116</v>
      </c>
      <c r="C2501" s="1"/>
    </row>
    <row r="2502" spans="1:3" ht="17" x14ac:dyDescent="0.25">
      <c r="A2502" s="3" t="s">
        <v>2612</v>
      </c>
      <c r="B2502" s="3">
        <f xml:space="preserve"> qlrf * lwgd</f>
        <v>9</v>
      </c>
      <c r="C2502" s="1"/>
    </row>
    <row r="2503" spans="1:3" ht="17" x14ac:dyDescent="0.25">
      <c r="A2503" s="3" t="s">
        <v>2692</v>
      </c>
      <c r="B2503" s="3">
        <f xml:space="preserve"> tmzd * ljhq</f>
        <v>123</v>
      </c>
      <c r="C2503" s="1"/>
    </row>
    <row r="2504" spans="1:3" ht="17" x14ac:dyDescent="0.25">
      <c r="A2504" s="3" t="s">
        <v>1714</v>
      </c>
      <c r="B2504" s="3">
        <f xml:space="preserve"> tjhw * cvvb</f>
        <v>232</v>
      </c>
      <c r="C2504" s="1"/>
    </row>
    <row r="2505" spans="1:3" ht="17" x14ac:dyDescent="0.25">
      <c r="A2505" s="3" t="s">
        <v>2365</v>
      </c>
      <c r="B2505" s="3">
        <f xml:space="preserve"> ncnp * tjbl</f>
        <v>19882</v>
      </c>
      <c r="C2505" s="1"/>
    </row>
    <row r="2506" spans="1:3" ht="17" x14ac:dyDescent="0.25">
      <c r="A2506" s="3" t="s">
        <v>2569</v>
      </c>
      <c r="B2506" s="3">
        <f xml:space="preserve"> sbqt - fhbv</f>
        <v>1259</v>
      </c>
      <c r="C2506" s="1"/>
    </row>
    <row r="2507" spans="1:3" ht="17" x14ac:dyDescent="0.25">
      <c r="A2507" s="3" t="s">
        <v>2166</v>
      </c>
      <c r="B2507" s="3">
        <f>5</f>
        <v>5</v>
      </c>
      <c r="C2507" s="1"/>
    </row>
    <row r="2508" spans="1:3" ht="17" x14ac:dyDescent="0.25">
      <c r="A2508" s="3" t="s">
        <v>2492</v>
      </c>
      <c r="B2508" s="3">
        <f>3</f>
        <v>3</v>
      </c>
      <c r="C2508" s="1"/>
    </row>
    <row r="2509" spans="1:3" ht="17" x14ac:dyDescent="0.25">
      <c r="A2509" s="3" t="s">
        <v>2430</v>
      </c>
      <c r="B2509" s="3">
        <f>13</f>
        <v>13</v>
      </c>
      <c r="C2509" s="1"/>
    </row>
    <row r="2510" spans="1:3" ht="17" x14ac:dyDescent="0.25">
      <c r="A2510" s="3" t="s">
        <v>41</v>
      </c>
      <c r="B2510" s="3">
        <f xml:space="preserve"> dfdc * qspl</f>
        <v>10</v>
      </c>
      <c r="C2510" s="1"/>
    </row>
    <row r="2511" spans="1:3" ht="17" x14ac:dyDescent="0.25">
      <c r="A2511" s="3" t="s">
        <v>2285</v>
      </c>
      <c r="B2511" s="3">
        <f>6</f>
        <v>6</v>
      </c>
      <c r="C2511" s="1"/>
    </row>
    <row r="2512" spans="1:3" ht="17" x14ac:dyDescent="0.25">
      <c r="A2512" s="3" t="s">
        <v>1990</v>
      </c>
      <c r="B2512" s="3">
        <f xml:space="preserve"> fqgg + pzbr</f>
        <v>12043</v>
      </c>
      <c r="C2512" s="1"/>
    </row>
    <row r="2513" spans="1:3" ht="17" x14ac:dyDescent="0.25">
      <c r="A2513" s="3" t="s">
        <v>2624</v>
      </c>
      <c r="B2513" s="3">
        <f xml:space="preserve"> qgrs * fwlr</f>
        <v>49</v>
      </c>
      <c r="C2513" s="1"/>
    </row>
    <row r="2514" spans="1:3" ht="17" x14ac:dyDescent="0.25">
      <c r="A2514" s="3" t="s">
        <v>2386</v>
      </c>
      <c r="B2514" s="3">
        <f xml:space="preserve"> bdfj + slmn</f>
        <v>13</v>
      </c>
      <c r="C2514" s="1"/>
    </row>
    <row r="2515" spans="1:3" ht="17" x14ac:dyDescent="0.25">
      <c r="A2515" s="3" t="s">
        <v>2472</v>
      </c>
      <c r="B2515" s="3">
        <f xml:space="preserve"> vvbq / lsfg</f>
        <v>6</v>
      </c>
      <c r="C2515" s="1"/>
    </row>
    <row r="2516" spans="1:3" ht="17" x14ac:dyDescent="0.25">
      <c r="A2516" s="3" t="s">
        <v>2283</v>
      </c>
      <c r="B2516" s="3">
        <f>2</f>
        <v>2</v>
      </c>
      <c r="C2516" s="1"/>
    </row>
    <row r="2517" spans="1:3" ht="17" x14ac:dyDescent="0.25">
      <c r="A2517" s="3" t="s">
        <v>2567</v>
      </c>
      <c r="B2517" s="3">
        <f xml:space="preserve"> dttn * jstb</f>
        <v>20</v>
      </c>
      <c r="C2517" s="1"/>
    </row>
    <row r="2518" spans="1:3" ht="17" x14ac:dyDescent="0.25">
      <c r="A2518" s="3" t="s">
        <v>2580</v>
      </c>
      <c r="B2518" s="3">
        <f>2</f>
        <v>2</v>
      </c>
      <c r="C2518" s="1"/>
    </row>
    <row r="2519" spans="1:3" ht="17" x14ac:dyDescent="0.25">
      <c r="A2519" s="3" t="s">
        <v>622</v>
      </c>
      <c r="B2519" s="3">
        <f xml:space="preserve"> tgwh * msvl</f>
        <v>12</v>
      </c>
      <c r="C2519" s="1"/>
    </row>
    <row r="2520" spans="1:3" ht="17" x14ac:dyDescent="0.25">
      <c r="A2520" s="3" t="s">
        <v>1694</v>
      </c>
      <c r="B2520" s="3">
        <f xml:space="preserve"> cggc * gnqp</f>
        <v>387</v>
      </c>
      <c r="C2520" s="1"/>
    </row>
    <row r="2521" spans="1:3" ht="17" x14ac:dyDescent="0.25">
      <c r="A2521" s="3" t="s">
        <v>954</v>
      </c>
      <c r="B2521" s="3">
        <f xml:space="preserve"> gsmv * tfcr</f>
        <v>18</v>
      </c>
      <c r="C2521" s="1"/>
    </row>
    <row r="2522" spans="1:3" ht="17" x14ac:dyDescent="0.25">
      <c r="A2522" s="3" t="s">
        <v>2593</v>
      </c>
      <c r="B2522" s="3">
        <f>4</f>
        <v>4</v>
      </c>
      <c r="C2522" s="1"/>
    </row>
    <row r="2523" spans="1:3" ht="17" x14ac:dyDescent="0.25">
      <c r="A2523" s="3" t="s">
        <v>2633</v>
      </c>
      <c r="B2523" s="3">
        <f>16</f>
        <v>16</v>
      </c>
      <c r="C2523" s="1"/>
    </row>
    <row r="2524" spans="1:3" ht="17" x14ac:dyDescent="0.25">
      <c r="A2524" s="3" t="s">
        <v>2689</v>
      </c>
      <c r="B2524" s="3">
        <f xml:space="preserve"> jrzs / pjpp</f>
        <v>22724511557395</v>
      </c>
      <c r="C2524" s="1"/>
    </row>
    <row r="2525" spans="1:3" ht="17" x14ac:dyDescent="0.25">
      <c r="A2525" s="3" t="s">
        <v>2117</v>
      </c>
      <c r="B2525" s="3">
        <f>4</f>
        <v>4</v>
      </c>
      <c r="C2525" s="1"/>
    </row>
    <row r="2526" spans="1:3" ht="17" x14ac:dyDescent="0.25">
      <c r="A2526" s="3" t="s">
        <v>2635</v>
      </c>
      <c r="B2526" s="3">
        <f>3</f>
        <v>3</v>
      </c>
      <c r="C2526" s="1"/>
    </row>
    <row r="2527" spans="1:3" ht="17" x14ac:dyDescent="0.25">
      <c r="A2527" s="3" t="s">
        <v>2449</v>
      </c>
      <c r="B2527" s="3">
        <f xml:space="preserve"> cqmw / slqs</f>
        <v>59646</v>
      </c>
      <c r="C2527" s="1"/>
    </row>
    <row r="2528" spans="1:3" ht="17" x14ac:dyDescent="0.25">
      <c r="A2528" s="3" t="s">
        <v>2695</v>
      </c>
      <c r="B2528" s="3">
        <f xml:space="preserve"> fwgr * fvwq</f>
        <v>6</v>
      </c>
      <c r="C2528" s="1"/>
    </row>
    <row r="2529" spans="1:3" ht="17" x14ac:dyDescent="0.25">
      <c r="A2529" s="3" t="s">
        <v>2574</v>
      </c>
      <c r="B2529" s="3">
        <f>2</f>
        <v>2</v>
      </c>
      <c r="C2529" s="1"/>
    </row>
    <row r="2530" spans="1:3" ht="17" x14ac:dyDescent="0.25">
      <c r="A2530" s="3" t="s">
        <v>2696</v>
      </c>
      <c r="B2530" s="3">
        <f>1</f>
        <v>1</v>
      </c>
      <c r="C2530" s="1"/>
    </row>
    <row r="2531" spans="1:3" ht="17" x14ac:dyDescent="0.25">
      <c r="A2531" s="3" t="s">
        <v>2292</v>
      </c>
      <c r="B2531" s="3">
        <f>2</f>
        <v>2</v>
      </c>
      <c r="C2531" s="1"/>
    </row>
    <row r="2532" spans="1:3" ht="17" x14ac:dyDescent="0.25">
      <c r="A2532" s="3" t="s">
        <v>1898</v>
      </c>
      <c r="B2532" s="3">
        <f>7</f>
        <v>7</v>
      </c>
      <c r="C2532" s="1"/>
    </row>
    <row r="2533" spans="1:3" ht="17" x14ac:dyDescent="0.25">
      <c r="A2533" s="3" t="s">
        <v>2271</v>
      </c>
      <c r="B2533" s="3">
        <f>12</f>
        <v>12</v>
      </c>
      <c r="C2533" s="1"/>
    </row>
    <row r="2534" spans="1:3" ht="17" x14ac:dyDescent="0.25">
      <c r="A2534" s="3" t="s">
        <v>1556</v>
      </c>
      <c r="B2534" s="3">
        <f>16</f>
        <v>16</v>
      </c>
      <c r="C2534" s="1"/>
    </row>
    <row r="2535" spans="1:3" ht="17" x14ac:dyDescent="0.25">
      <c r="A2535" s="3" t="s">
        <v>1405</v>
      </c>
      <c r="B2535" s="3">
        <f xml:space="preserve"> hsnn * nmdm</f>
        <v>44</v>
      </c>
      <c r="C2535" s="1"/>
    </row>
    <row r="2536" spans="1:3" ht="17" x14ac:dyDescent="0.25">
      <c r="A2536" s="3" t="s">
        <v>164</v>
      </c>
      <c r="B2536" s="3">
        <f>5</f>
        <v>5</v>
      </c>
      <c r="C2536" s="1"/>
    </row>
    <row r="2537" spans="1:3" ht="17" x14ac:dyDescent="0.25">
      <c r="A2537" s="3" t="s">
        <v>1533</v>
      </c>
      <c r="B2537" s="3">
        <f>3</f>
        <v>3</v>
      </c>
      <c r="C2537" s="1"/>
    </row>
    <row r="2538" spans="1:3" ht="17" x14ac:dyDescent="0.25">
      <c r="A2538" s="3" t="s">
        <v>1192</v>
      </c>
      <c r="B2538" s="3">
        <f xml:space="preserve"> rwfc * nplz</f>
        <v>148</v>
      </c>
      <c r="C2538" s="1"/>
    </row>
    <row r="2539" spans="1:3" ht="17" x14ac:dyDescent="0.25">
      <c r="A2539" s="3" t="s">
        <v>2640</v>
      </c>
      <c r="B2539" s="3">
        <f>14</f>
        <v>14</v>
      </c>
      <c r="C2539" s="1"/>
    </row>
    <row r="2540" spans="1:3" ht="17" x14ac:dyDescent="0.25">
      <c r="A2540" s="3" t="s">
        <v>998</v>
      </c>
      <c r="B2540" s="3">
        <f xml:space="preserve"> zgrj + nwqh</f>
        <v>110</v>
      </c>
      <c r="C2540" s="1"/>
    </row>
    <row r="2541" spans="1:3" ht="17" x14ac:dyDescent="0.25">
      <c r="A2541" s="3" t="s">
        <v>1239</v>
      </c>
      <c r="B2541" s="3">
        <f>5</f>
        <v>5</v>
      </c>
      <c r="C2541" s="1"/>
    </row>
    <row r="2542" spans="1:3" ht="17" x14ac:dyDescent="0.25">
      <c r="A2542" s="3" t="s">
        <v>1853</v>
      </c>
      <c r="B2542" s="3">
        <f xml:space="preserve"> rdpq * tsmb</f>
        <v>993</v>
      </c>
      <c r="C2542" s="1"/>
    </row>
    <row r="2543" spans="1:3" ht="17" x14ac:dyDescent="0.25">
      <c r="A2543" s="3" t="s">
        <v>2674</v>
      </c>
      <c r="B2543" s="3">
        <f xml:space="preserve"> lmlf * hmcv</f>
        <v>36</v>
      </c>
      <c r="C2543" s="1"/>
    </row>
    <row r="2544" spans="1:3" ht="17" x14ac:dyDescent="0.25">
      <c r="A2544" s="3" t="s">
        <v>1869</v>
      </c>
      <c r="B2544" s="3">
        <f xml:space="preserve"> lvlg * crzd</f>
        <v>24</v>
      </c>
      <c r="C2544" s="1"/>
    </row>
    <row r="2545" spans="1:3" ht="17" x14ac:dyDescent="0.25">
      <c r="A2545" s="3" t="s">
        <v>2697</v>
      </c>
      <c r="B2545" s="3">
        <f>11</f>
        <v>11</v>
      </c>
      <c r="C2545" s="1"/>
    </row>
    <row r="2546" spans="1:3" ht="17" x14ac:dyDescent="0.25">
      <c r="A2546" s="3" t="s">
        <v>2471</v>
      </c>
      <c r="B2546" s="3">
        <f xml:space="preserve"> znzl * tqnb</f>
        <v>6</v>
      </c>
      <c r="C2546" s="1"/>
    </row>
    <row r="2547" spans="1:3" ht="17" x14ac:dyDescent="0.25">
      <c r="A2547" s="3" t="s">
        <v>37</v>
      </c>
      <c r="B2547" s="3">
        <f>3</f>
        <v>3</v>
      </c>
      <c r="C2547" s="1"/>
    </row>
    <row r="2548" spans="1:3" ht="17" x14ac:dyDescent="0.25">
      <c r="A2548" s="3" t="s">
        <v>2059</v>
      </c>
      <c r="B2548" s="3">
        <f>2</f>
        <v>2</v>
      </c>
      <c r="C2548" s="1"/>
    </row>
    <row r="2549" spans="1:3" ht="17" x14ac:dyDescent="0.25">
      <c r="A2549" s="3" t="s">
        <v>2012</v>
      </c>
      <c r="B2549" s="3">
        <f>2</f>
        <v>2</v>
      </c>
      <c r="C2549" s="1"/>
    </row>
    <row r="2550" spans="1:3" ht="17" x14ac:dyDescent="0.25">
      <c r="A2550" s="3" t="s">
        <v>2520</v>
      </c>
      <c r="B2550" s="3">
        <f>4</f>
        <v>4</v>
      </c>
      <c r="C2550" s="1"/>
    </row>
    <row r="2551" spans="1:3" ht="17" x14ac:dyDescent="0.25">
      <c r="A2551" s="3" t="s">
        <v>613</v>
      </c>
      <c r="B2551" s="3">
        <f xml:space="preserve"> vpcl + szgv</f>
        <v>593</v>
      </c>
      <c r="C2551" s="1"/>
    </row>
    <row r="2552" spans="1:3" ht="17" x14ac:dyDescent="0.25">
      <c r="A2552" s="3" t="s">
        <v>1290</v>
      </c>
      <c r="B2552" s="3">
        <f>8</f>
        <v>8</v>
      </c>
      <c r="C2552" s="1"/>
    </row>
    <row r="2553" spans="1:3" ht="17" x14ac:dyDescent="0.25">
      <c r="A2553" s="3" t="s">
        <v>1394</v>
      </c>
      <c r="B2553" s="3">
        <f xml:space="preserve"> gctl - cphb</f>
        <v>37</v>
      </c>
      <c r="C2553" s="1"/>
    </row>
    <row r="2554" spans="1:3" ht="17" x14ac:dyDescent="0.25">
      <c r="A2554" s="3" t="s">
        <v>1151</v>
      </c>
      <c r="B2554" s="3">
        <f xml:space="preserve"> nbwg * qdjt</f>
        <v>30</v>
      </c>
      <c r="C2554" s="1"/>
    </row>
    <row r="2555" spans="1:3" ht="17" x14ac:dyDescent="0.25">
      <c r="A2555" s="3" t="s">
        <v>2495</v>
      </c>
      <c r="B2555" s="3">
        <f xml:space="preserve"> lqgf + tgfz</f>
        <v>7</v>
      </c>
      <c r="C2555" s="1"/>
    </row>
    <row r="2556" spans="1:3" ht="17" x14ac:dyDescent="0.25">
      <c r="A2556" s="3" t="s">
        <v>265</v>
      </c>
      <c r="B2556" s="3">
        <f>2</f>
        <v>2</v>
      </c>
      <c r="C2556" s="1"/>
    </row>
    <row r="2557" spans="1:3" ht="17" x14ac:dyDescent="0.25">
      <c r="A2557" s="3" t="s">
        <v>1959</v>
      </c>
      <c r="B2557" s="3">
        <f>3</f>
        <v>3</v>
      </c>
      <c r="C2557" s="1"/>
    </row>
    <row r="2558" spans="1:3" ht="17" x14ac:dyDescent="0.25">
      <c r="A2558" s="3" t="s">
        <v>2020</v>
      </c>
      <c r="B2558" s="3">
        <f>2</f>
        <v>2</v>
      </c>
      <c r="C2558" s="1"/>
    </row>
    <row r="2559" spans="1:3" ht="17" x14ac:dyDescent="0.25">
      <c r="A2559" s="3" t="s">
        <v>2631</v>
      </c>
      <c r="B2559" s="3">
        <f>13</f>
        <v>13</v>
      </c>
      <c r="C2559" s="1"/>
    </row>
    <row r="2560" spans="1:3" ht="17" x14ac:dyDescent="0.25">
      <c r="A2560" s="3" t="s">
        <v>1559</v>
      </c>
      <c r="B2560" s="3">
        <f>5</f>
        <v>5</v>
      </c>
      <c r="C2560" s="1"/>
    </row>
    <row r="2561" spans="1:3" ht="17" x14ac:dyDescent="0.25">
      <c r="A2561" s="3" t="s">
        <v>2446</v>
      </c>
      <c r="B2561" s="3">
        <f xml:space="preserve"> jcwp + cqdw</f>
        <v>17</v>
      </c>
      <c r="C2561" s="1"/>
    </row>
    <row r="2562" spans="1:3" ht="17" x14ac:dyDescent="0.25">
      <c r="A2562" s="3" t="s">
        <v>1593</v>
      </c>
      <c r="B2562" s="3">
        <f xml:space="preserve"> lfjq - qjft</f>
        <v>782</v>
      </c>
      <c r="C2562" s="1"/>
    </row>
    <row r="2563" spans="1:3" ht="17" x14ac:dyDescent="0.25">
      <c r="A2563" s="3" t="s">
        <v>2321</v>
      </c>
      <c r="B2563" s="3">
        <f>2</f>
        <v>2</v>
      </c>
      <c r="C2563" s="1"/>
    </row>
    <row r="2564" spans="1:3" ht="17" x14ac:dyDescent="0.25">
      <c r="A2564" s="3" t="s">
        <v>273</v>
      </c>
      <c r="B2564" s="3">
        <f xml:space="preserve"> qdlj * pgnd</f>
        <v>6</v>
      </c>
      <c r="C2564" s="1"/>
    </row>
    <row r="2565" spans="1:3" ht="17" x14ac:dyDescent="0.25">
      <c r="A2565" s="3" t="s">
        <v>2541</v>
      </c>
      <c r="B2565" s="3">
        <f xml:space="preserve"> bdvv * ftnw</f>
        <v>10</v>
      </c>
      <c r="C2565" s="1"/>
    </row>
    <row r="2566" spans="1:3" ht="17" x14ac:dyDescent="0.25">
      <c r="A2566" s="3" t="s">
        <v>2555</v>
      </c>
      <c r="B2566" s="3">
        <f xml:space="preserve"> chnh + cmjw</f>
        <v>7</v>
      </c>
      <c r="C2566" s="1"/>
    </row>
    <row r="2567" spans="1:3" ht="17" x14ac:dyDescent="0.25">
      <c r="A2567" s="3" t="s">
        <v>2688</v>
      </c>
      <c r="B2567" s="3">
        <f xml:space="preserve"> bsvh - zrtv</f>
        <v>204520604016137</v>
      </c>
      <c r="C2567" s="1"/>
    </row>
    <row r="2568" spans="1:3" ht="17" x14ac:dyDescent="0.25">
      <c r="A2568" s="3" t="s">
        <v>1455</v>
      </c>
      <c r="B2568" s="3">
        <f>2</f>
        <v>2</v>
      </c>
      <c r="C2568" s="1"/>
    </row>
    <row r="2569" spans="1:3" ht="17" x14ac:dyDescent="0.25">
      <c r="A2569" s="3" t="s">
        <v>2645</v>
      </c>
      <c r="B2569" s="3">
        <f xml:space="preserve"> zvfc * wtcd</f>
        <v>9</v>
      </c>
      <c r="C2569" s="1"/>
    </row>
    <row r="2570" spans="1:3" ht="17" x14ac:dyDescent="0.25">
      <c r="A2570" s="3" t="s">
        <v>2005</v>
      </c>
      <c r="B2570" s="3">
        <f xml:space="preserve"> ldvj + znnj</f>
        <v>4229</v>
      </c>
      <c r="C2570" s="1"/>
    </row>
    <row r="2571" spans="1:3" ht="17" x14ac:dyDescent="0.25">
      <c r="A2571" s="3" t="s">
        <v>2629</v>
      </c>
      <c r="B2571" s="3">
        <f xml:space="preserve"> tdgl * vtbg</f>
        <v>40</v>
      </c>
      <c r="C2571" s="1"/>
    </row>
    <row r="2572" spans="1:3" ht="17" x14ac:dyDescent="0.25">
      <c r="A2572" s="3" t="s">
        <v>562</v>
      </c>
      <c r="B2572" s="3">
        <f>4</f>
        <v>4</v>
      </c>
      <c r="C2572" s="1"/>
    </row>
    <row r="2573" spans="1:3" ht="17" x14ac:dyDescent="0.25">
      <c r="A2573" s="3" t="s">
        <v>1386</v>
      </c>
      <c r="B2573" s="3">
        <f xml:space="preserve"> slhd + jbls</f>
        <v>31</v>
      </c>
      <c r="C2573" s="1"/>
    </row>
    <row r="2574" spans="1:3" ht="17" x14ac:dyDescent="0.25">
      <c r="A2574" s="3" t="s">
        <v>2307</v>
      </c>
      <c r="B2574" s="3">
        <f>2</f>
        <v>2</v>
      </c>
      <c r="C2574" s="1"/>
    </row>
    <row r="2575" spans="1:3" ht="17" x14ac:dyDescent="0.25">
      <c r="A2575" s="3" t="s">
        <v>635</v>
      </c>
      <c r="B2575" s="3">
        <f>2</f>
        <v>2</v>
      </c>
      <c r="C2575" s="1"/>
    </row>
    <row r="2576" spans="1:3" ht="17" x14ac:dyDescent="0.25">
      <c r="A2576" s="3" t="s">
        <v>2132</v>
      </c>
      <c r="B2576" s="3">
        <f>5</f>
        <v>5</v>
      </c>
      <c r="C2576" s="1"/>
    </row>
    <row r="2577" spans="1:3" ht="17" x14ac:dyDescent="0.25">
      <c r="A2577" s="3" t="s">
        <v>2616</v>
      </c>
      <c r="B2577" s="3">
        <f xml:space="preserve"> bzcn / vvpb</f>
        <v>103</v>
      </c>
      <c r="C2577" s="1"/>
    </row>
    <row r="2578" spans="1:3" ht="17" x14ac:dyDescent="0.25">
      <c r="A2578" s="3" t="s">
        <v>1866</v>
      </c>
      <c r="B2578" s="3">
        <f>3</f>
        <v>3</v>
      </c>
      <c r="C2578" s="1"/>
    </row>
    <row r="2579" spans="1:3" ht="17" x14ac:dyDescent="0.25">
      <c r="A2579" s="3" t="s">
        <v>2164</v>
      </c>
      <c r="B2579" s="3">
        <f>2</f>
        <v>2</v>
      </c>
      <c r="C2579" s="1"/>
    </row>
    <row r="2580" spans="1:3" ht="17" x14ac:dyDescent="0.25">
      <c r="A2580" s="3" t="s">
        <v>2615</v>
      </c>
      <c r="B2580" s="3">
        <f xml:space="preserve"> svdd / ssbp</f>
        <v>57</v>
      </c>
      <c r="C2580" s="1"/>
    </row>
    <row r="2581" spans="1:3" ht="17" x14ac:dyDescent="0.25">
      <c r="A2581" s="3" t="s">
        <v>2551</v>
      </c>
      <c r="B2581" s="3">
        <f xml:space="preserve"> nzvf * qvqq</f>
        <v>88</v>
      </c>
      <c r="C2581" s="1"/>
    </row>
    <row r="2582" spans="1:3" ht="17" x14ac:dyDescent="0.25">
      <c r="A2582" s="3" t="s">
        <v>2167</v>
      </c>
      <c r="B2582" s="3">
        <f>11</f>
        <v>11</v>
      </c>
      <c r="C2582" s="1"/>
    </row>
    <row r="2583" spans="1:3" ht="17" x14ac:dyDescent="0.25">
      <c r="A2583" s="3" t="s">
        <v>891</v>
      </c>
      <c r="B2583" s="3">
        <f xml:space="preserve"> rlds + tsvz</f>
        <v>13</v>
      </c>
      <c r="C2583" s="1"/>
    </row>
    <row r="2584" spans="1:3" ht="17" x14ac:dyDescent="0.25">
      <c r="A2584" s="3" t="s">
        <v>933</v>
      </c>
      <c r="B2584" s="3">
        <f xml:space="preserve"> tflw * sszs</f>
        <v>46</v>
      </c>
      <c r="C2584" s="1"/>
    </row>
    <row r="2585" spans="1:3" ht="17" x14ac:dyDescent="0.25">
      <c r="A2585" s="3" t="s">
        <v>1651</v>
      </c>
      <c r="B2585" s="3">
        <f>3</f>
        <v>3</v>
      </c>
      <c r="C2585" s="1"/>
    </row>
    <row r="2586" spans="1:3" ht="17" x14ac:dyDescent="0.25">
      <c r="A2586" s="3" t="s">
        <v>1838</v>
      </c>
      <c r="B2586" s="3">
        <f xml:space="preserve"> lqjf * bnmd</f>
        <v>15</v>
      </c>
      <c r="C2586" s="1"/>
    </row>
    <row r="2587" spans="1:3" ht="17" x14ac:dyDescent="0.25">
      <c r="A2587" s="3" t="s">
        <v>2666</v>
      </c>
      <c r="B2587" s="3">
        <f>2</f>
        <v>2</v>
      </c>
      <c r="C2587" s="1"/>
    </row>
    <row r="2588" spans="1:3" ht="17" x14ac:dyDescent="0.25">
      <c r="A2588" s="3" t="s">
        <v>746</v>
      </c>
      <c r="B2588" s="3">
        <f xml:space="preserve"> wzfn + chbq</f>
        <v>953</v>
      </c>
      <c r="C2588" s="1"/>
    </row>
    <row r="2589" spans="1:3" ht="17" x14ac:dyDescent="0.25">
      <c r="A2589" s="3" t="s">
        <v>1445</v>
      </c>
      <c r="B2589" s="3">
        <f>18</f>
        <v>18</v>
      </c>
      <c r="C2589" s="1"/>
    </row>
    <row r="2590" spans="1:3" ht="17" x14ac:dyDescent="0.25">
      <c r="A2590" s="3" t="s">
        <v>1083</v>
      </c>
      <c r="B2590" s="3">
        <f>7</f>
        <v>7</v>
      </c>
      <c r="C2590" s="1"/>
    </row>
    <row r="2591" spans="1:3" ht="17" x14ac:dyDescent="0.25">
      <c r="A2591" s="3" t="s">
        <v>1711</v>
      </c>
      <c r="B2591" s="3">
        <f xml:space="preserve"> flbp + mbvj</f>
        <v>9521</v>
      </c>
      <c r="C2591" s="1"/>
    </row>
    <row r="2592" spans="1:3" ht="17" x14ac:dyDescent="0.25">
      <c r="A2592" s="3" t="s">
        <v>733</v>
      </c>
      <c r="B2592" s="3">
        <f xml:space="preserve"> swng * jlff</f>
        <v>28</v>
      </c>
      <c r="C2592" s="1"/>
    </row>
    <row r="2593" spans="1:3" ht="17" x14ac:dyDescent="0.25">
      <c r="A2593" s="3" t="s">
        <v>1298</v>
      </c>
      <c r="B2593" s="3">
        <f>5</f>
        <v>5</v>
      </c>
      <c r="C2593" s="1"/>
    </row>
    <row r="2594" spans="1:3" ht="17" x14ac:dyDescent="0.25">
      <c r="A2594" s="3" t="s">
        <v>2669</v>
      </c>
      <c r="B2594" s="3">
        <f>7</f>
        <v>7</v>
      </c>
      <c r="C2594" s="1"/>
    </row>
    <row r="2595" spans="1:3" ht="17" x14ac:dyDescent="0.25">
      <c r="A2595" s="3" t="s">
        <v>2388</v>
      </c>
      <c r="B2595" s="3">
        <f xml:space="preserve"> bblr + chpr</f>
        <v>30</v>
      </c>
      <c r="C2595" s="1"/>
    </row>
    <row r="2596" spans="1:3" ht="17" x14ac:dyDescent="0.25">
      <c r="A2596" s="3" t="s">
        <v>634</v>
      </c>
      <c r="B2596" s="3">
        <f xml:space="preserve"> nsqn + rbnd</f>
        <v>7</v>
      </c>
      <c r="C2596" s="1"/>
    </row>
    <row r="2597" spans="1:3" ht="17" x14ac:dyDescent="0.25">
      <c r="A2597" s="3" t="s">
        <v>1507</v>
      </c>
      <c r="B2597" s="3">
        <f xml:space="preserve"> djpg - chsp</f>
        <v>79535790443661</v>
      </c>
      <c r="C2597" s="1"/>
    </row>
    <row r="2598" spans="1:3" ht="17" x14ac:dyDescent="0.25">
      <c r="A2598" s="3" t="s">
        <v>2044</v>
      </c>
      <c r="B2598" s="3">
        <f xml:space="preserve"> dmnh + lgnj</f>
        <v>662</v>
      </c>
      <c r="C2598" s="1"/>
    </row>
    <row r="2599" spans="1:3" ht="17" x14ac:dyDescent="0.25">
      <c r="A2599" s="3" t="s">
        <v>1811</v>
      </c>
      <c r="B2599" s="3">
        <f>2</f>
        <v>2</v>
      </c>
      <c r="C2599" s="1"/>
    </row>
    <row r="2600" spans="1:3" ht="17" x14ac:dyDescent="0.25">
      <c r="A2600" s="3" t="s">
        <v>1166</v>
      </c>
      <c r="B2600" s="3">
        <f>20</f>
        <v>20</v>
      </c>
      <c r="C2600" s="1"/>
    </row>
    <row r="2601" spans="1:3" ht="17" x14ac:dyDescent="0.25">
      <c r="A2601" s="3" t="s">
        <v>2500</v>
      </c>
      <c r="B2601" s="3">
        <f xml:space="preserve"> dlzm * mnzh</f>
        <v>8</v>
      </c>
      <c r="C2601" s="1"/>
    </row>
    <row r="2602" spans="1:3" ht="17" x14ac:dyDescent="0.25">
      <c r="A2602" s="3" t="s">
        <v>1399</v>
      </c>
      <c r="B2602" s="3">
        <f xml:space="preserve"> wnct + htqn</f>
        <v>14</v>
      </c>
      <c r="C2602" s="1"/>
    </row>
    <row r="2603" spans="1:3" ht="17" x14ac:dyDescent="0.25">
      <c r="A2603" s="3" t="s">
        <v>2352</v>
      </c>
      <c r="B2603" s="3">
        <f>2</f>
        <v>2</v>
      </c>
      <c r="C2603" s="1"/>
    </row>
    <row r="2604" spans="1:3" ht="17" x14ac:dyDescent="0.25">
      <c r="A2604" s="3" t="s">
        <v>2700</v>
      </c>
      <c r="B2604" s="3">
        <f>2</f>
        <v>2</v>
      </c>
      <c r="C2604" s="1"/>
    </row>
    <row r="2605" spans="1:3" ht="17" x14ac:dyDescent="0.25">
      <c r="A2605" s="3" t="s">
        <v>1710</v>
      </c>
      <c r="B2605" s="3">
        <f>4</f>
        <v>4</v>
      </c>
      <c r="C2605" s="1"/>
    </row>
    <row r="2606" spans="1:3" ht="17" x14ac:dyDescent="0.25">
      <c r="A2606" s="3" t="s">
        <v>2210</v>
      </c>
      <c r="B2606" s="3">
        <f>2</f>
        <v>2</v>
      </c>
      <c r="C2606" s="1"/>
    </row>
    <row r="2607" spans="1:3" ht="17" x14ac:dyDescent="0.25">
      <c r="A2607" s="3" t="s">
        <v>1706</v>
      </c>
      <c r="B2607" s="3">
        <f xml:space="preserve"> bhvl * fjwb</f>
        <v>14</v>
      </c>
      <c r="C2607" s="1"/>
    </row>
    <row r="2608" spans="1:3" ht="17" x14ac:dyDescent="0.25">
      <c r="A2608" s="3" t="s">
        <v>2667</v>
      </c>
      <c r="B2608" s="3">
        <f>7</f>
        <v>7</v>
      </c>
      <c r="C2608" s="1"/>
    </row>
    <row r="2609" spans="1:3" ht="17" x14ac:dyDescent="0.25">
      <c r="A2609" s="3" t="s">
        <v>2329</v>
      </c>
      <c r="B2609" s="3">
        <f>2</f>
        <v>2</v>
      </c>
      <c r="C2609" s="1"/>
    </row>
    <row r="2610" spans="1:3" ht="17" x14ac:dyDescent="0.25">
      <c r="A2610" s="3" t="s">
        <v>679</v>
      </c>
      <c r="B2610" s="3">
        <f xml:space="preserve"> ssng + nhpc</f>
        <v>17</v>
      </c>
      <c r="C2610" s="1"/>
    </row>
    <row r="2611" spans="1:3" ht="17" x14ac:dyDescent="0.25">
      <c r="A2611" s="3" t="s">
        <v>1491</v>
      </c>
      <c r="B2611" s="3">
        <f>1</f>
        <v>1</v>
      </c>
      <c r="C2611" s="1"/>
    </row>
    <row r="2612" spans="1:3" ht="17" x14ac:dyDescent="0.25">
      <c r="A2612" s="3" t="s">
        <v>2421</v>
      </c>
      <c r="B2612" s="3">
        <f xml:space="preserve"> qgtn / zzlf</f>
        <v>7</v>
      </c>
      <c r="C2612" s="1"/>
    </row>
    <row r="2613" spans="1:3" ht="17" x14ac:dyDescent="0.25">
      <c r="A2613" s="3" t="s">
        <v>380</v>
      </c>
      <c r="B2613" s="3">
        <f xml:space="preserve"> vddh + whml</f>
        <v>37</v>
      </c>
      <c r="C2613" s="1"/>
    </row>
    <row r="2614" spans="1:3" ht="17" x14ac:dyDescent="0.25">
      <c r="A2614" s="3" t="s">
        <v>2590</v>
      </c>
      <c r="B2614" s="3">
        <f xml:space="preserve"> hjds * pjpg</f>
        <v>6</v>
      </c>
      <c r="C2614" s="1"/>
    </row>
    <row r="2615" spans="1:3" ht="17" x14ac:dyDescent="0.25">
      <c r="A2615" s="3" t="s">
        <v>2588</v>
      </c>
      <c r="B2615" s="3">
        <f xml:space="preserve"> lvtd + fshs</f>
        <v>42</v>
      </c>
      <c r="C2615" s="1"/>
    </row>
    <row r="2616" spans="1:3" ht="17" x14ac:dyDescent="0.25">
      <c r="A2616" s="3" t="s">
        <v>2701</v>
      </c>
      <c r="B2616" s="3">
        <f xml:space="preserve"> vwrt * cvsb</f>
        <v>14</v>
      </c>
      <c r="C2616" s="1"/>
    </row>
    <row r="2617" spans="1:3" ht="17" x14ac:dyDescent="0.25">
      <c r="A2617" s="3" t="s">
        <v>2491</v>
      </c>
      <c r="B2617" s="3">
        <f xml:space="preserve"> wvwn + sztw</f>
        <v>7</v>
      </c>
      <c r="C2617" s="1"/>
    </row>
    <row r="2618" spans="1:3" ht="17" x14ac:dyDescent="0.25">
      <c r="A2618" s="3" t="s">
        <v>2202</v>
      </c>
      <c r="B2618" s="3">
        <f>5</f>
        <v>5</v>
      </c>
      <c r="C2618" s="1"/>
    </row>
    <row r="2619" spans="1:3" ht="17" x14ac:dyDescent="0.25">
      <c r="A2619" s="3" t="s">
        <v>2315</v>
      </c>
      <c r="B2619" s="3">
        <f>2</f>
        <v>2</v>
      </c>
      <c r="C2619" s="1"/>
    </row>
    <row r="2620" spans="1:3" ht="17" x14ac:dyDescent="0.25">
      <c r="A2620" s="3" t="s">
        <v>443</v>
      </c>
      <c r="B2620" s="3">
        <f xml:space="preserve"> fbbj + sjqr</f>
        <v>103</v>
      </c>
      <c r="C2620" s="1"/>
    </row>
    <row r="2621" spans="1:3" ht="17" x14ac:dyDescent="0.25">
      <c r="A2621" s="3" t="s">
        <v>2473</v>
      </c>
      <c r="B2621" s="3">
        <f xml:space="preserve"> nncr + bgrh</f>
        <v>29</v>
      </c>
      <c r="C2621" s="1"/>
    </row>
    <row r="2622" spans="1:3" ht="17" x14ac:dyDescent="0.25">
      <c r="A2622" s="3" t="s">
        <v>2702</v>
      </c>
      <c r="B2622" s="3">
        <f>2</f>
        <v>2</v>
      </c>
      <c r="C2622" s="1"/>
    </row>
    <row r="2623" spans="1:3" ht="17" x14ac:dyDescent="0.25">
      <c r="A2623" s="3" t="s">
        <v>2140</v>
      </c>
      <c r="B2623" s="3">
        <f>5</f>
        <v>5</v>
      </c>
      <c r="C2623" s="1"/>
    </row>
    <row r="2624" spans="1:3" ht="17" x14ac:dyDescent="0.25">
      <c r="A2624" s="3" t="s">
        <v>990</v>
      </c>
      <c r="B2624" s="3">
        <f>7</f>
        <v>7</v>
      </c>
      <c r="C2624" s="1"/>
    </row>
    <row r="2625" spans="1:3" ht="17" x14ac:dyDescent="0.25">
      <c r="A2625" s="3" t="s">
        <v>2684</v>
      </c>
      <c r="B2625" s="3">
        <f xml:space="preserve"> bmjc + gcrd</f>
        <v>1368</v>
      </c>
      <c r="C2625" s="1"/>
    </row>
    <row r="2626" spans="1:3" ht="17" x14ac:dyDescent="0.25">
      <c r="A2626" s="3" t="s">
        <v>1725</v>
      </c>
      <c r="B2626" s="3">
        <f>2</f>
        <v>2</v>
      </c>
      <c r="C2626" s="1"/>
    </row>
    <row r="2627" spans="1:3" ht="17" x14ac:dyDescent="0.25">
      <c r="A2627" s="3" t="s">
        <v>2648</v>
      </c>
      <c r="B2627" s="3">
        <f xml:space="preserve"> thcj * shnm</f>
        <v>27</v>
      </c>
      <c r="C2627" s="1"/>
    </row>
    <row r="2628" spans="1:3" ht="17" x14ac:dyDescent="0.25">
      <c r="A2628" s="3" t="s">
        <v>1381</v>
      </c>
      <c r="B2628" s="3">
        <f>2</f>
        <v>2</v>
      </c>
      <c r="C2628" s="1"/>
    </row>
    <row r="2629" spans="1:3" ht="17" x14ac:dyDescent="0.25">
      <c r="A2629" s="3" t="s">
        <v>2015</v>
      </c>
      <c r="B2629" s="3">
        <f xml:space="preserve"> wrtb - rfcp</f>
        <v>44</v>
      </c>
      <c r="C2629" s="1"/>
    </row>
    <row r="2630" spans="1:3" ht="17" x14ac:dyDescent="0.25">
      <c r="A2630" s="3" t="s">
        <v>55</v>
      </c>
      <c r="B2630" s="3">
        <f xml:space="preserve"> gblg + zncf</f>
        <v>29</v>
      </c>
      <c r="C2630" s="1"/>
    </row>
    <row r="2631" spans="1:3" ht="17" x14ac:dyDescent="0.25">
      <c r="A2631" s="3" t="s">
        <v>2578</v>
      </c>
      <c r="B2631" s="3">
        <f>4</f>
        <v>4</v>
      </c>
      <c r="C2631" s="1"/>
    </row>
    <row r="2632" spans="1:3" ht="17" x14ac:dyDescent="0.25">
      <c r="A2632" s="3" t="s">
        <v>1502</v>
      </c>
      <c r="B2632" s="3">
        <f xml:space="preserve"> gtzp + hccv</f>
        <v>229</v>
      </c>
      <c r="C2632" s="1"/>
    </row>
    <row r="2633" spans="1:3" ht="17" x14ac:dyDescent="0.25">
      <c r="A2633" s="3" t="s">
        <v>2693</v>
      </c>
      <c r="B2633" s="3">
        <f>5</f>
        <v>5</v>
      </c>
      <c r="C2633" s="1"/>
    </row>
    <row r="2634" spans="1:3" ht="17" x14ac:dyDescent="0.25">
      <c r="A2634" s="3" t="s">
        <v>1011</v>
      </c>
      <c r="B2634" s="3">
        <f xml:space="preserve"> hbbv / gndz</f>
        <v>7</v>
      </c>
      <c r="C2634" s="1"/>
    </row>
    <row r="2635" spans="1:3" ht="17" x14ac:dyDescent="0.25">
      <c r="A2635" s="3" t="s">
        <v>2675</v>
      </c>
      <c r="B2635" s="3">
        <f xml:space="preserve"> hlcp * hqdn</f>
        <v>18</v>
      </c>
      <c r="C2635" s="1"/>
    </row>
    <row r="2636" spans="1:3" ht="17" x14ac:dyDescent="0.25">
      <c r="A2636" s="3" t="s">
        <v>2462</v>
      </c>
      <c r="B2636" s="3">
        <f>2</f>
        <v>2</v>
      </c>
      <c r="C2636" s="1"/>
    </row>
    <row r="2637" spans="1:3" ht="17" x14ac:dyDescent="0.25">
      <c r="A2637" s="3" t="s">
        <v>1310</v>
      </c>
      <c r="B2637" s="3">
        <f xml:space="preserve"> tffd * lfrm</f>
        <v>26</v>
      </c>
      <c r="C2637" s="1"/>
    </row>
    <row r="2638" spans="1:3" ht="17" x14ac:dyDescent="0.25">
      <c r="A2638" s="3" t="s">
        <v>2678</v>
      </c>
      <c r="B2638" s="3">
        <f xml:space="preserve"> trlw * fnvn</f>
        <v>25174</v>
      </c>
      <c r="C2638" s="1"/>
    </row>
    <row r="2639" spans="1:3" ht="17" x14ac:dyDescent="0.25">
      <c r="A2639" s="3" t="s">
        <v>435</v>
      </c>
      <c r="B2639" s="3">
        <f>4</f>
        <v>4</v>
      </c>
      <c r="C2639" s="1"/>
    </row>
    <row r="2640" spans="1:3" ht="17" x14ac:dyDescent="0.25">
      <c r="A2640" s="3" t="s">
        <v>2019</v>
      </c>
      <c r="B2640" s="3">
        <f xml:space="preserve"> gtjm * jncn</f>
        <v>58</v>
      </c>
      <c r="C2640" s="1"/>
    </row>
    <row r="2641" spans="1:3" ht="17" x14ac:dyDescent="0.25">
      <c r="A2641" s="3" t="s">
        <v>179</v>
      </c>
      <c r="B2641" s="3">
        <f>3</f>
        <v>3</v>
      </c>
      <c r="C2641" s="1"/>
    </row>
    <row r="2642" spans="1:3" ht="17" x14ac:dyDescent="0.25">
      <c r="A2642" s="3" t="s">
        <v>2681</v>
      </c>
      <c r="B2642" s="3">
        <f>4</f>
        <v>4</v>
      </c>
      <c r="C2642" s="1"/>
    </row>
    <row r="2643" spans="1:3" ht="17" x14ac:dyDescent="0.25">
      <c r="A2643" s="3" t="s">
        <v>2656</v>
      </c>
      <c r="B2643" s="3">
        <f xml:space="preserve"> cmfn + lgst</f>
        <v>421</v>
      </c>
      <c r="C2643" s="1"/>
    </row>
    <row r="2644" spans="1:3" ht="17" x14ac:dyDescent="0.25">
      <c r="A2644" s="3" t="s">
        <v>542</v>
      </c>
      <c r="B2644" s="3">
        <f>2</f>
        <v>2</v>
      </c>
      <c r="C2644" s="1"/>
    </row>
    <row r="2645" spans="1:3" ht="17" x14ac:dyDescent="0.25">
      <c r="A2645" s="3" t="s">
        <v>2035</v>
      </c>
      <c r="B2645" s="3">
        <f>2</f>
        <v>2</v>
      </c>
      <c r="C2645" s="1"/>
    </row>
    <row r="2646" spans="1:3" ht="17" x14ac:dyDescent="0.25">
      <c r="A2646" s="3" t="s">
        <v>2423</v>
      </c>
      <c r="B2646" s="3">
        <f xml:space="preserve"> nplj / ddmc</f>
        <v>9</v>
      </c>
      <c r="C2646" s="1"/>
    </row>
    <row r="2647" spans="1:3" ht="17" x14ac:dyDescent="0.25">
      <c r="A2647" s="3" t="s">
        <v>1316</v>
      </c>
      <c r="B2647" s="3">
        <f>1</f>
        <v>1</v>
      </c>
      <c r="C2647" s="1"/>
    </row>
    <row r="2648" spans="1:3" ht="17" x14ac:dyDescent="0.25">
      <c r="A2648" s="3" t="s">
        <v>570</v>
      </c>
      <c r="B2648" s="3">
        <f>5</f>
        <v>5</v>
      </c>
      <c r="C2648" s="1"/>
    </row>
    <row r="2649" spans="1:3" ht="17" x14ac:dyDescent="0.25">
      <c r="A2649" s="3" t="s">
        <v>2507</v>
      </c>
      <c r="B2649" s="3">
        <f>2</f>
        <v>2</v>
      </c>
      <c r="C2649" s="1"/>
    </row>
    <row r="2650" spans="1:3" ht="17" x14ac:dyDescent="0.25">
      <c r="A2650" s="3" t="s">
        <v>2114</v>
      </c>
      <c r="B2650" s="3">
        <f xml:space="preserve"> tcrr * wglt</f>
        <v>36</v>
      </c>
      <c r="C2650" s="1"/>
    </row>
    <row r="2651" spans="1:3" ht="17" x14ac:dyDescent="0.25">
      <c r="A2651" s="3" t="s">
        <v>2528</v>
      </c>
      <c r="B2651" s="3">
        <f>3</f>
        <v>3</v>
      </c>
      <c r="C2651" s="1"/>
    </row>
    <row r="2652" spans="1:3" ht="17" x14ac:dyDescent="0.25">
      <c r="A2652" s="3" t="s">
        <v>1823</v>
      </c>
      <c r="B2652" s="3">
        <f xml:space="preserve"> pfwg + rqgq</f>
        <v>69</v>
      </c>
      <c r="C2652" s="1"/>
    </row>
    <row r="2653" spans="1:3" ht="17" x14ac:dyDescent="0.25">
      <c r="A2653" s="3" t="s">
        <v>2246</v>
      </c>
      <c r="B2653" s="3">
        <f>4</f>
        <v>4</v>
      </c>
      <c r="C2653" s="1"/>
    </row>
    <row r="2654" spans="1:3" ht="17" x14ac:dyDescent="0.25">
      <c r="A2654" s="3" t="s">
        <v>252</v>
      </c>
      <c r="B2654" s="3">
        <f>2</f>
        <v>2</v>
      </c>
      <c r="C2654" s="1"/>
    </row>
    <row r="2655" spans="1:3" ht="17" x14ac:dyDescent="0.25">
      <c r="A2655" s="3" t="s">
        <v>1037</v>
      </c>
      <c r="B2655" s="3">
        <f xml:space="preserve"> dsbr * ddrl</f>
        <v>76</v>
      </c>
      <c r="C2655" s="1"/>
    </row>
    <row r="2656" spans="1:3" ht="17" x14ac:dyDescent="0.25">
      <c r="A2656" s="3" t="s">
        <v>1482</v>
      </c>
      <c r="B2656" s="3">
        <f>3</f>
        <v>3</v>
      </c>
      <c r="C2656" s="1"/>
    </row>
    <row r="2657" spans="1:3" ht="17" x14ac:dyDescent="0.25">
      <c r="A2657" s="3" t="s">
        <v>1387</v>
      </c>
      <c r="B2657" s="3">
        <f>1</f>
        <v>1</v>
      </c>
      <c r="C2657" s="1"/>
    </row>
    <row r="2658" spans="1:3" ht="17" x14ac:dyDescent="0.25">
      <c r="A2658" s="3" t="s">
        <v>1571</v>
      </c>
      <c r="B2658" s="3">
        <f>4</f>
        <v>4</v>
      </c>
      <c r="C2658" s="1"/>
    </row>
    <row r="2659" spans="1:3" ht="17" x14ac:dyDescent="0.25">
      <c r="A2659" s="3" t="s">
        <v>1500</v>
      </c>
      <c r="B2659" s="3">
        <f xml:space="preserve"> cncz + vwnd</f>
        <v>1879784963239</v>
      </c>
      <c r="C2659" s="1"/>
    </row>
    <row r="2660" spans="1:3" ht="17" x14ac:dyDescent="0.25">
      <c r="A2660" s="3" t="s">
        <v>2524</v>
      </c>
      <c r="B2660" s="3">
        <f xml:space="preserve"> zgvg + drsb</f>
        <v>3961</v>
      </c>
      <c r="C2660" s="1"/>
    </row>
    <row r="2661" spans="1:3" ht="17" x14ac:dyDescent="0.25">
      <c r="A2661" s="3" t="s">
        <v>595</v>
      </c>
      <c r="B2661" s="3">
        <f>2</f>
        <v>2</v>
      </c>
      <c r="C2661" s="1"/>
    </row>
    <row r="2662" spans="1:3" ht="17" x14ac:dyDescent="0.25">
      <c r="A2662" s="3" t="s">
        <v>1976</v>
      </c>
      <c r="B2662" s="3">
        <f>2</f>
        <v>2</v>
      </c>
      <c r="C2662" s="1"/>
    </row>
    <row r="2663" spans="1:3" ht="17" x14ac:dyDescent="0.25">
      <c r="A2663" s="3" t="s">
        <v>1783</v>
      </c>
      <c r="B2663" s="3">
        <f>2</f>
        <v>2</v>
      </c>
      <c r="C2663" s="1"/>
    </row>
    <row r="2664" spans="1:3" ht="17" x14ac:dyDescent="0.25">
      <c r="A2664" s="3" t="s">
        <v>473</v>
      </c>
      <c r="B2664" s="3">
        <f xml:space="preserve"> gbzb * vwcc</f>
        <v>8</v>
      </c>
      <c r="C2664" s="1"/>
    </row>
    <row r="2665" spans="1:3" ht="17" x14ac:dyDescent="0.25">
      <c r="A2665" s="3" t="s">
        <v>1536</v>
      </c>
      <c r="B2665" s="3">
        <f>2</f>
        <v>2</v>
      </c>
      <c r="C2665" s="1"/>
    </row>
    <row r="2666" spans="1:3" ht="17" x14ac:dyDescent="0.25">
      <c r="A2666" s="3" t="s">
        <v>270</v>
      </c>
      <c r="B2666" s="3">
        <f xml:space="preserve"> dqzp * fzpn</f>
        <v>1617</v>
      </c>
      <c r="C2666" s="1"/>
    </row>
    <row r="2667" spans="1:3" ht="17" x14ac:dyDescent="0.25">
      <c r="A2667" s="3" t="s">
        <v>375</v>
      </c>
      <c r="B2667" s="3">
        <f>4</f>
        <v>4</v>
      </c>
      <c r="C2667" s="1"/>
    </row>
    <row r="2668" spans="1:3" ht="17" x14ac:dyDescent="0.25">
      <c r="A2668" s="3" t="s">
        <v>617</v>
      </c>
      <c r="B2668" s="3">
        <f xml:space="preserve"> hgfg * djzn</f>
        <v>406</v>
      </c>
      <c r="C2668" s="1"/>
    </row>
    <row r="2669" spans="1:3" ht="17" x14ac:dyDescent="0.25">
      <c r="A2669" s="3" t="s">
        <v>1164</v>
      </c>
      <c r="B2669" s="3">
        <f>4</f>
        <v>4</v>
      </c>
      <c r="C2669" s="1"/>
    </row>
    <row r="2670" spans="1:3" ht="17" x14ac:dyDescent="0.25">
      <c r="A2670" s="3" t="s">
        <v>2676</v>
      </c>
      <c r="B2670" s="3">
        <f>1</f>
        <v>1</v>
      </c>
      <c r="C2670" s="1"/>
    </row>
    <row r="2671" spans="1:3" ht="17" x14ac:dyDescent="0.25">
      <c r="A2671" s="3" t="s">
        <v>1144</v>
      </c>
      <c r="B2671" s="3">
        <f>2</f>
        <v>2</v>
      </c>
      <c r="C2671" s="1"/>
    </row>
    <row r="2672" spans="1:3" ht="17" x14ac:dyDescent="0.25">
      <c r="A2672" s="3" t="s">
        <v>2655</v>
      </c>
      <c r="B2672" s="3">
        <f xml:space="preserve"> jgvd + pqdz</f>
        <v>24</v>
      </c>
      <c r="C2672" s="1"/>
    </row>
    <row r="2673" spans="1:3" ht="17" x14ac:dyDescent="0.25">
      <c r="A2673" s="3" t="s">
        <v>237</v>
      </c>
      <c r="B2673" s="3">
        <f>5</f>
        <v>5</v>
      </c>
      <c r="C2673" s="1"/>
    </row>
    <row r="2674" spans="1:3" ht="17" x14ac:dyDescent="0.25">
      <c r="A2674" s="3" t="s">
        <v>2537</v>
      </c>
      <c r="B2674" s="3">
        <f>7</f>
        <v>7</v>
      </c>
      <c r="C2674" s="1"/>
    </row>
    <row r="2675" spans="1:3" ht="17" x14ac:dyDescent="0.25">
      <c r="A2675" s="3" t="s">
        <v>1493</v>
      </c>
      <c r="B2675" s="3">
        <f>4</f>
        <v>4</v>
      </c>
      <c r="C2675" s="1"/>
    </row>
    <row r="2676" spans="1:3" ht="17" x14ac:dyDescent="0.25">
      <c r="A2676" s="3" t="s">
        <v>1699</v>
      </c>
      <c r="B2676" s="3">
        <f>4</f>
        <v>4</v>
      </c>
      <c r="C2676" s="1"/>
    </row>
    <row r="2677" spans="1:3" ht="17" x14ac:dyDescent="0.25">
      <c r="A2677" s="3" t="s">
        <v>2318</v>
      </c>
      <c r="B2677" s="3">
        <f xml:space="preserve"> lncv / zmbb</f>
        <v>127</v>
      </c>
      <c r="C2677" s="1"/>
    </row>
    <row r="2678" spans="1:3" ht="17" x14ac:dyDescent="0.25">
      <c r="A2678" s="3" t="s">
        <v>1125</v>
      </c>
      <c r="B2678" s="3">
        <f xml:space="preserve"> vqmc + djqp</f>
        <v>17</v>
      </c>
      <c r="C2678" s="1"/>
    </row>
    <row r="2679" spans="1:3" ht="17" x14ac:dyDescent="0.25">
      <c r="A2679" s="3" t="s">
        <v>996</v>
      </c>
      <c r="B2679" s="3">
        <f xml:space="preserve"> rmwz - mfqc</f>
        <v>103</v>
      </c>
      <c r="C2679" s="1"/>
    </row>
    <row r="2680" spans="1:3" ht="17" x14ac:dyDescent="0.25">
      <c r="A2680" s="3" t="s">
        <v>2699</v>
      </c>
      <c r="B2680" s="3">
        <f xml:space="preserve"> qbbz * chvf</f>
        <v>204520604017010</v>
      </c>
      <c r="C2680" s="1"/>
    </row>
    <row r="2681" spans="1:3" ht="17" x14ac:dyDescent="0.25">
      <c r="A2681" s="3" t="s">
        <v>1596</v>
      </c>
      <c r="B2681" s="3">
        <f>17</f>
        <v>17</v>
      </c>
      <c r="C2681" s="1"/>
    </row>
    <row r="2682" spans="1:3" ht="17" x14ac:dyDescent="0.25">
      <c r="A2682" s="3" t="s">
        <v>2173</v>
      </c>
      <c r="B2682" s="3">
        <f xml:space="preserve"> wvmv * tgfs</f>
        <v>255650754999526</v>
      </c>
      <c r="C2682" s="1"/>
    </row>
    <row r="2683" spans="1:3" ht="17" x14ac:dyDescent="0.25">
      <c r="A2683" s="3" t="s">
        <v>2698</v>
      </c>
      <c r="B2683" s="3">
        <f>6</f>
        <v>6</v>
      </c>
      <c r="C2683" s="1"/>
    </row>
    <row r="2684" spans="1:3" ht="17" x14ac:dyDescent="0.25">
      <c r="A2684" s="3" t="s">
        <v>868</v>
      </c>
      <c r="B2684" s="3">
        <f>2</f>
        <v>2</v>
      </c>
      <c r="C2684" s="1"/>
    </row>
    <row r="2685" spans="1:3" ht="17" x14ac:dyDescent="0.25">
      <c r="A2685" s="3" t="s">
        <v>508</v>
      </c>
      <c r="B2685" s="3">
        <f xml:space="preserve"> zqsq / pztq</f>
        <v>7</v>
      </c>
      <c r="C2685" s="1"/>
    </row>
    <row r="2686" spans="1:3" ht="17" x14ac:dyDescent="0.25">
      <c r="A2686" s="3" t="s">
        <v>2418</v>
      </c>
      <c r="B2686" s="3">
        <f>2</f>
        <v>2</v>
      </c>
      <c r="C2686" s="1"/>
    </row>
    <row r="2687" spans="1:3" ht="17" x14ac:dyDescent="0.25">
      <c r="A2687" s="3" t="s">
        <v>1937</v>
      </c>
      <c r="B2687" s="3">
        <f xml:space="preserve"> mslt * cdgd</f>
        <v>6</v>
      </c>
      <c r="C2687" s="1"/>
    </row>
    <row r="2688" spans="1:3" ht="17" x14ac:dyDescent="0.25">
      <c r="A2688" s="3" t="s">
        <v>884</v>
      </c>
      <c r="B2688" s="3">
        <f>5</f>
        <v>5</v>
      </c>
      <c r="C2688" s="1"/>
    </row>
    <row r="2689" spans="1:3" ht="17" x14ac:dyDescent="0.25">
      <c r="A2689" s="3" t="s">
        <v>67</v>
      </c>
      <c r="B2689" s="3">
        <f xml:space="preserve"> lndq + mbtc</f>
        <v>23</v>
      </c>
      <c r="C2689" s="1"/>
    </row>
    <row r="2690" spans="1:3" ht="17" x14ac:dyDescent="0.25">
      <c r="A2690" s="3" t="s">
        <v>1666</v>
      </c>
      <c r="B2690" s="3">
        <f>3</f>
        <v>3</v>
      </c>
      <c r="C2690" s="1"/>
    </row>
    <row r="2691" spans="1:3" ht="17" x14ac:dyDescent="0.25">
      <c r="A2691" s="3" t="s">
        <v>2372</v>
      </c>
      <c r="B2691" s="3">
        <f>9</f>
        <v>9</v>
      </c>
      <c r="C2691" s="1"/>
    </row>
    <row r="2692" spans="1:3" ht="17" x14ac:dyDescent="0.25">
      <c r="A2692" s="3" t="s">
        <v>2668</v>
      </c>
      <c r="B2692" s="3">
        <f xml:space="preserve"> bncq - tmjv</f>
        <v>290</v>
      </c>
      <c r="C2692" s="1"/>
    </row>
    <row r="2693" spans="1:3" ht="17" x14ac:dyDescent="0.25">
      <c r="A2693" s="3" t="s">
        <v>1921</v>
      </c>
      <c r="B2693" s="3">
        <f xml:space="preserve"> hmdt * jnqm</f>
        <v>30</v>
      </c>
      <c r="C2693" s="1"/>
    </row>
    <row r="2694" spans="1:3" ht="17" x14ac:dyDescent="0.25">
      <c r="A2694" s="3" t="s">
        <v>1945</v>
      </c>
      <c r="B2694" s="3">
        <f>10</f>
        <v>10</v>
      </c>
      <c r="C2694" s="1"/>
    </row>
    <row r="2695" spans="1:3" ht="17" x14ac:dyDescent="0.25">
      <c r="A2695" s="3" t="s">
        <v>2605</v>
      </c>
      <c r="B2695" s="3">
        <f>6</f>
        <v>6</v>
      </c>
      <c r="C2695" s="1"/>
    </row>
    <row r="2696" spans="1:3" ht="17" x14ac:dyDescent="0.25">
      <c r="A2696" s="3" t="s">
        <v>2694</v>
      </c>
      <c r="B2696" s="3">
        <f xml:space="preserve"> wvwf * wlbm</f>
        <v>24</v>
      </c>
      <c r="C2696" s="1"/>
    </row>
    <row r="2697" spans="1:3" ht="17" x14ac:dyDescent="0.25">
      <c r="A2697" s="3" t="s">
        <v>1753</v>
      </c>
      <c r="B2697" s="3">
        <f>3</f>
        <v>3</v>
      </c>
      <c r="C2697" s="1"/>
    </row>
    <row r="2698" spans="1:3" ht="17" x14ac:dyDescent="0.25">
      <c r="A2698" s="3" t="s">
        <v>2208</v>
      </c>
      <c r="B2698" s="3">
        <f>9</f>
        <v>9</v>
      </c>
      <c r="C2698" s="1"/>
    </row>
    <row r="2699" spans="1:3" ht="17" x14ac:dyDescent="0.25">
      <c r="A2699" s="3" t="s">
        <v>2435</v>
      </c>
      <c r="B2699" s="3">
        <f>5</f>
        <v>5</v>
      </c>
      <c r="C2699" s="1"/>
    </row>
    <row r="2700" spans="1:3" ht="17" x14ac:dyDescent="0.25">
      <c r="A2700" s="3" t="s">
        <v>2638</v>
      </c>
      <c r="B2700" s="3">
        <f>2</f>
        <v>2</v>
      </c>
      <c r="C2700" s="1"/>
    </row>
    <row r="2701" spans="1:3" ht="17" x14ac:dyDescent="0.25">
      <c r="A2701" s="3" t="s">
        <v>2672</v>
      </c>
      <c r="B2701" s="3">
        <f>3</f>
        <v>3</v>
      </c>
      <c r="C2701" s="1"/>
    </row>
    <row r="2702" spans="1:3" ht="17" x14ac:dyDescent="0.25">
      <c r="A2702" s="3" t="s">
        <v>2171</v>
      </c>
      <c r="B2702" s="3">
        <f>2</f>
        <v>2</v>
      </c>
      <c r="C2702" s="1"/>
    </row>
    <row r="2703" spans="1:3" ht="17" x14ac:dyDescent="0.25">
      <c r="A2703" s="3" t="s">
        <v>1201</v>
      </c>
      <c r="B2703" s="3">
        <f xml:space="preserve"> ntlg - brpd</f>
        <v>43</v>
      </c>
      <c r="C270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Part1">
                <anchor moveWithCells="1" sizeWithCells="1">
                  <from>
                    <xdr:col>3</xdr:col>
                    <xdr:colOff>50800</xdr:colOff>
                    <xdr:row>5</xdr:row>
                    <xdr:rowOff>152400</xdr:rowOff>
                  </from>
                  <to>
                    <xdr:col>7</xdr:col>
                    <xdr:colOff>203200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2715</vt:i4>
      </vt:variant>
    </vt:vector>
  </HeadingPairs>
  <TitlesOfParts>
    <vt:vector size="2716" baseType="lpstr">
      <vt:lpstr>Sheet1</vt:lpstr>
      <vt:lpstr>bbhz</vt:lpstr>
      <vt:lpstr>bbjq</vt:lpstr>
      <vt:lpstr>bblr</vt:lpstr>
      <vt:lpstr>bbnq</vt:lpstr>
      <vt:lpstr>bbwp</vt:lpstr>
      <vt:lpstr>bccv</vt:lpstr>
      <vt:lpstr>bcdg</vt:lpstr>
      <vt:lpstr>bclh</vt:lpstr>
      <vt:lpstr>bclv</vt:lpstr>
      <vt:lpstr>bcmd</vt:lpstr>
      <vt:lpstr>bcnh</vt:lpstr>
      <vt:lpstr>bctr</vt:lpstr>
      <vt:lpstr>bcvc</vt:lpstr>
      <vt:lpstr>bcvs</vt:lpstr>
      <vt:lpstr>bdds</vt:lpstr>
      <vt:lpstr>bdfj</vt:lpstr>
      <vt:lpstr>bdjw</vt:lpstr>
      <vt:lpstr>bdlp</vt:lpstr>
      <vt:lpstr>bdsd</vt:lpstr>
      <vt:lpstr>bdvv</vt:lpstr>
      <vt:lpstr>bdvw</vt:lpstr>
      <vt:lpstr>bdww</vt:lpstr>
      <vt:lpstr>bfbz</vt:lpstr>
      <vt:lpstr>bffq</vt:lpstr>
      <vt:lpstr>bffv</vt:lpstr>
      <vt:lpstr>bfgr</vt:lpstr>
      <vt:lpstr>bfnc</vt:lpstr>
      <vt:lpstr>bfnm</vt:lpstr>
      <vt:lpstr>bfqz</vt:lpstr>
      <vt:lpstr>bfrh</vt:lpstr>
      <vt:lpstr>bfrv</vt:lpstr>
      <vt:lpstr>bfsc</vt:lpstr>
      <vt:lpstr>bfwn</vt:lpstr>
      <vt:lpstr>bfwr</vt:lpstr>
      <vt:lpstr>bghc</vt:lpstr>
      <vt:lpstr>bgjf</vt:lpstr>
      <vt:lpstr>bgqf</vt:lpstr>
      <vt:lpstr>bgrd</vt:lpstr>
      <vt:lpstr>bgrh</vt:lpstr>
      <vt:lpstr>bgrl</vt:lpstr>
      <vt:lpstr>bgsq</vt:lpstr>
      <vt:lpstr>bgsw</vt:lpstr>
      <vt:lpstr>bgsz</vt:lpstr>
      <vt:lpstr>bgws</vt:lpstr>
      <vt:lpstr>bhbm</vt:lpstr>
      <vt:lpstr>bhdt</vt:lpstr>
      <vt:lpstr>bhfc</vt:lpstr>
      <vt:lpstr>bhfl</vt:lpstr>
      <vt:lpstr>bhgc</vt:lpstr>
      <vt:lpstr>bhjr</vt:lpstr>
      <vt:lpstr>bhlr</vt:lpstr>
      <vt:lpstr>bhqd</vt:lpstr>
      <vt:lpstr>bhvl</vt:lpstr>
      <vt:lpstr>bhwv</vt:lpstr>
      <vt:lpstr>bjbd</vt:lpstr>
      <vt:lpstr>bjcn</vt:lpstr>
      <vt:lpstr>bjfm</vt:lpstr>
      <vt:lpstr>bjgh</vt:lpstr>
      <vt:lpstr>bjln</vt:lpstr>
      <vt:lpstr>bjnp</vt:lpstr>
      <vt:lpstr>bjpr</vt:lpstr>
      <vt:lpstr>bjrl</vt:lpstr>
      <vt:lpstr>bjwc</vt:lpstr>
      <vt:lpstr>bjzb</vt:lpstr>
      <vt:lpstr>blbw</vt:lpstr>
      <vt:lpstr>blgc</vt:lpstr>
      <vt:lpstr>blhm</vt:lpstr>
      <vt:lpstr>blmj</vt:lpstr>
      <vt:lpstr>blml</vt:lpstr>
      <vt:lpstr>blpr</vt:lpstr>
      <vt:lpstr>blqj</vt:lpstr>
      <vt:lpstr>bltq</vt:lpstr>
      <vt:lpstr>bmbq</vt:lpstr>
      <vt:lpstr>bmcp</vt:lpstr>
      <vt:lpstr>bmdc</vt:lpstr>
      <vt:lpstr>bmds</vt:lpstr>
      <vt:lpstr>bmjc</vt:lpstr>
      <vt:lpstr>bmmc</vt:lpstr>
      <vt:lpstr>bmmg</vt:lpstr>
      <vt:lpstr>bmnl</vt:lpstr>
      <vt:lpstr>bmnn</vt:lpstr>
      <vt:lpstr>bmsc</vt:lpstr>
      <vt:lpstr>bncl</vt:lpstr>
      <vt:lpstr>bncq</vt:lpstr>
      <vt:lpstr>bngv</vt:lpstr>
      <vt:lpstr>bnmd</vt:lpstr>
      <vt:lpstr>bnmr</vt:lpstr>
      <vt:lpstr>bnnw</vt:lpstr>
      <vt:lpstr>bntt</vt:lpstr>
      <vt:lpstr>bnzz</vt:lpstr>
      <vt:lpstr>bpfj</vt:lpstr>
      <vt:lpstr>bpfl</vt:lpstr>
      <vt:lpstr>bpgc</vt:lpstr>
      <vt:lpstr>bpjm</vt:lpstr>
      <vt:lpstr>bpns</vt:lpstr>
      <vt:lpstr>bpnz</vt:lpstr>
      <vt:lpstr>bpqv</vt:lpstr>
      <vt:lpstr>bqbb</vt:lpstr>
      <vt:lpstr>bqbl</vt:lpstr>
      <vt:lpstr>bqqd</vt:lpstr>
      <vt:lpstr>bqvr</vt:lpstr>
      <vt:lpstr>brbh</vt:lpstr>
      <vt:lpstr>brbv</vt:lpstr>
      <vt:lpstr>brjc</vt:lpstr>
      <vt:lpstr>brjv</vt:lpstr>
      <vt:lpstr>brlz</vt:lpstr>
      <vt:lpstr>brpd</vt:lpstr>
      <vt:lpstr>brqn</vt:lpstr>
      <vt:lpstr>brvb</vt:lpstr>
      <vt:lpstr>brzp</vt:lpstr>
      <vt:lpstr>bscd</vt:lpstr>
      <vt:lpstr>bsgd</vt:lpstr>
      <vt:lpstr>bshs</vt:lpstr>
      <vt:lpstr>bsrp</vt:lpstr>
      <vt:lpstr>bsvd</vt:lpstr>
      <vt:lpstr>bsvh</vt:lpstr>
      <vt:lpstr>bswg</vt:lpstr>
      <vt:lpstr>bswm</vt:lpstr>
      <vt:lpstr>bszn</vt:lpstr>
      <vt:lpstr>btbr</vt:lpstr>
      <vt:lpstr>btgt</vt:lpstr>
      <vt:lpstr>btjv</vt:lpstr>
      <vt:lpstr>btls</vt:lpstr>
      <vt:lpstr>btpg</vt:lpstr>
      <vt:lpstr>btsh</vt:lpstr>
      <vt:lpstr>bvgd</vt:lpstr>
      <vt:lpstr>bvlv</vt:lpstr>
      <vt:lpstr>bvmd</vt:lpstr>
      <vt:lpstr>bvnq</vt:lpstr>
      <vt:lpstr>bvpf</vt:lpstr>
      <vt:lpstr>bvqs</vt:lpstr>
      <vt:lpstr>bvrn</vt:lpstr>
      <vt:lpstr>bvst</vt:lpstr>
      <vt:lpstr>bvtd</vt:lpstr>
      <vt:lpstr>bvvc</vt:lpstr>
      <vt:lpstr>bvwp</vt:lpstr>
      <vt:lpstr>bvzn</vt:lpstr>
      <vt:lpstr>bwcw</vt:lpstr>
      <vt:lpstr>bwdg</vt:lpstr>
      <vt:lpstr>bwdz</vt:lpstr>
      <vt:lpstr>bwfb</vt:lpstr>
      <vt:lpstr>bwgh</vt:lpstr>
      <vt:lpstr>bwhb</vt:lpstr>
      <vt:lpstr>bwll</vt:lpstr>
      <vt:lpstr>bwts</vt:lpstr>
      <vt:lpstr>bzcn</vt:lpstr>
      <vt:lpstr>bzfj</vt:lpstr>
      <vt:lpstr>bzpt</vt:lpstr>
      <vt:lpstr>bzqc</vt:lpstr>
      <vt:lpstr>bzqz</vt:lpstr>
      <vt:lpstr>bzzl</vt:lpstr>
      <vt:lpstr>cbdg</vt:lpstr>
      <vt:lpstr>cbgb</vt:lpstr>
      <vt:lpstr>cbgc</vt:lpstr>
      <vt:lpstr>cbpw</vt:lpstr>
      <vt:lpstr>cbrp</vt:lpstr>
      <vt:lpstr>cbsm</vt:lpstr>
      <vt:lpstr>cbvd</vt:lpstr>
      <vt:lpstr>cbws</vt:lpstr>
      <vt:lpstr>ccdl</vt:lpstr>
      <vt:lpstr>ccds</vt:lpstr>
      <vt:lpstr>ccft</vt:lpstr>
      <vt:lpstr>ccnp</vt:lpstr>
      <vt:lpstr>ccqq</vt:lpstr>
      <vt:lpstr>ccrb</vt:lpstr>
      <vt:lpstr>cczh</vt:lpstr>
      <vt:lpstr>cdbf</vt:lpstr>
      <vt:lpstr>cdgd</vt:lpstr>
      <vt:lpstr>cdhb</vt:lpstr>
      <vt:lpstr>cdhh</vt:lpstr>
      <vt:lpstr>cdjw</vt:lpstr>
      <vt:lpstr>cdmb</vt:lpstr>
      <vt:lpstr>cdnl</vt:lpstr>
      <vt:lpstr>cdtl</vt:lpstr>
      <vt:lpstr>cdvg</vt:lpstr>
      <vt:lpstr>cfch</vt:lpstr>
      <vt:lpstr>cffs</vt:lpstr>
      <vt:lpstr>cflt</vt:lpstr>
      <vt:lpstr>cfrf</vt:lpstr>
      <vt:lpstr>cfzt</vt:lpstr>
      <vt:lpstr>cggc</vt:lpstr>
      <vt:lpstr>cggg</vt:lpstr>
      <vt:lpstr>cghj</vt:lpstr>
      <vt:lpstr>cgjm</vt:lpstr>
      <vt:lpstr>cglz</vt:lpstr>
      <vt:lpstr>cgml</vt:lpstr>
      <vt:lpstr>cgnd</vt:lpstr>
      <vt:lpstr>cgnt</vt:lpstr>
      <vt:lpstr>cgnv</vt:lpstr>
      <vt:lpstr>cgrh</vt:lpstr>
      <vt:lpstr>cgtg</vt:lpstr>
      <vt:lpstr>cgzs</vt:lpstr>
      <vt:lpstr>chbn</vt:lpstr>
      <vt:lpstr>chbq</vt:lpstr>
      <vt:lpstr>chdw</vt:lpstr>
      <vt:lpstr>chgv</vt:lpstr>
      <vt:lpstr>chmf</vt:lpstr>
      <vt:lpstr>chnh</vt:lpstr>
      <vt:lpstr>chpr</vt:lpstr>
      <vt:lpstr>chsp</vt:lpstr>
      <vt:lpstr>chsw</vt:lpstr>
      <vt:lpstr>chvf</vt:lpstr>
      <vt:lpstr>chwl</vt:lpstr>
      <vt:lpstr>chzd</vt:lpstr>
      <vt:lpstr>chzs</vt:lpstr>
      <vt:lpstr>cjpp</vt:lpstr>
      <vt:lpstr>cjvq</vt:lpstr>
      <vt:lpstr>cjzt</vt:lpstr>
      <vt:lpstr>clcj</vt:lpstr>
      <vt:lpstr>clhb</vt:lpstr>
      <vt:lpstr>cljq</vt:lpstr>
      <vt:lpstr>clls</vt:lpstr>
      <vt:lpstr>clpj</vt:lpstr>
      <vt:lpstr>clwf</vt:lpstr>
      <vt:lpstr>cmfn</vt:lpstr>
      <vt:lpstr>cmgl</vt:lpstr>
      <vt:lpstr>cmhd</vt:lpstr>
      <vt:lpstr>cmjw</vt:lpstr>
      <vt:lpstr>cmmj</vt:lpstr>
      <vt:lpstr>cmpp</vt:lpstr>
      <vt:lpstr>cmpz</vt:lpstr>
      <vt:lpstr>cmrm</vt:lpstr>
      <vt:lpstr>cmsd</vt:lpstr>
      <vt:lpstr>cmwh</vt:lpstr>
      <vt:lpstr>cncc</vt:lpstr>
      <vt:lpstr>cncz</vt:lpstr>
      <vt:lpstr>cnfh</vt:lpstr>
      <vt:lpstr>cnlm</vt:lpstr>
      <vt:lpstr>cnpl</vt:lpstr>
      <vt:lpstr>cnrj</vt:lpstr>
      <vt:lpstr>cnrp</vt:lpstr>
      <vt:lpstr>cntc</vt:lpstr>
      <vt:lpstr>cpfb</vt:lpstr>
      <vt:lpstr>cpfw</vt:lpstr>
      <vt:lpstr>cphb</vt:lpstr>
      <vt:lpstr>cpjn</vt:lpstr>
      <vt:lpstr>cppj</vt:lpstr>
      <vt:lpstr>cprz</vt:lpstr>
      <vt:lpstr>cpvd</vt:lpstr>
      <vt:lpstr>cpvn</vt:lpstr>
      <vt:lpstr>cpzl</vt:lpstr>
      <vt:lpstr>cqdw</vt:lpstr>
      <vt:lpstr>cqfp</vt:lpstr>
      <vt:lpstr>cqmv</vt:lpstr>
      <vt:lpstr>cqmw</vt:lpstr>
      <vt:lpstr>cqtz</vt:lpstr>
      <vt:lpstr>cqwn</vt:lpstr>
      <vt:lpstr>cqzm</vt:lpstr>
      <vt:lpstr>crcz</vt:lpstr>
      <vt:lpstr>crdq</vt:lpstr>
      <vt:lpstr>crhs</vt:lpstr>
      <vt:lpstr>crjp</vt:lpstr>
      <vt:lpstr>crlj</vt:lpstr>
      <vt:lpstr>crnl</vt:lpstr>
      <vt:lpstr>crpp</vt:lpstr>
      <vt:lpstr>crzd</vt:lpstr>
      <vt:lpstr>csbn</vt:lpstr>
      <vt:lpstr>cscc</vt:lpstr>
      <vt:lpstr>csdt</vt:lpstr>
      <vt:lpstr>csfj</vt:lpstr>
      <vt:lpstr>csgs</vt:lpstr>
      <vt:lpstr>csgw</vt:lpstr>
      <vt:lpstr>csqb</vt:lpstr>
      <vt:lpstr>cswj</vt:lpstr>
      <vt:lpstr>cswv</vt:lpstr>
      <vt:lpstr>cszj</vt:lpstr>
      <vt:lpstr>ctcp</vt:lpstr>
      <vt:lpstr>ctgg</vt:lpstr>
      <vt:lpstr>cthg</vt:lpstr>
      <vt:lpstr>ctmg</vt:lpstr>
      <vt:lpstr>cttg</vt:lpstr>
      <vt:lpstr>ctth</vt:lpstr>
      <vt:lpstr>cvbz</vt:lpstr>
      <vt:lpstr>cvdp</vt:lpstr>
      <vt:lpstr>cvfz</vt:lpstr>
      <vt:lpstr>cvgp</vt:lpstr>
      <vt:lpstr>cvjl</vt:lpstr>
      <vt:lpstr>cvld</vt:lpstr>
      <vt:lpstr>cvsb</vt:lpstr>
      <vt:lpstr>cvvb</vt:lpstr>
      <vt:lpstr>cvvp</vt:lpstr>
      <vt:lpstr>cwdv</vt:lpstr>
      <vt:lpstr>cwff</vt:lpstr>
      <vt:lpstr>cwht</vt:lpstr>
      <vt:lpstr>cwnw</vt:lpstr>
      <vt:lpstr>cwpc</vt:lpstr>
      <vt:lpstr>cwvm</vt:lpstr>
      <vt:lpstr>cwwf</vt:lpstr>
      <vt:lpstr>cwzv</vt:lpstr>
      <vt:lpstr>czbj</vt:lpstr>
      <vt:lpstr>czgl</vt:lpstr>
      <vt:lpstr>czhh</vt:lpstr>
      <vt:lpstr>czhr</vt:lpstr>
      <vt:lpstr>czqn</vt:lpstr>
      <vt:lpstr>czqs</vt:lpstr>
      <vt:lpstr>czwl</vt:lpstr>
      <vt:lpstr>dbcq</vt:lpstr>
      <vt:lpstr>dbgg</vt:lpstr>
      <vt:lpstr>dbpl</vt:lpstr>
      <vt:lpstr>dbpp</vt:lpstr>
      <vt:lpstr>dbpv</vt:lpstr>
      <vt:lpstr>dbqq</vt:lpstr>
      <vt:lpstr>dbqw</vt:lpstr>
      <vt:lpstr>dbqz</vt:lpstr>
      <vt:lpstr>dbth</vt:lpstr>
      <vt:lpstr>dbzh</vt:lpstr>
      <vt:lpstr>dbzz</vt:lpstr>
      <vt:lpstr>dccf</vt:lpstr>
      <vt:lpstr>dccl</vt:lpstr>
      <vt:lpstr>dccw</vt:lpstr>
      <vt:lpstr>dcqm</vt:lpstr>
      <vt:lpstr>dctl</vt:lpstr>
      <vt:lpstr>dctv</vt:lpstr>
      <vt:lpstr>dczh</vt:lpstr>
      <vt:lpstr>dddh</vt:lpstr>
      <vt:lpstr>ddmc</vt:lpstr>
      <vt:lpstr>ddrl</vt:lpstr>
      <vt:lpstr>ddtt</vt:lpstr>
      <vt:lpstr>ddzr</vt:lpstr>
      <vt:lpstr>dfcv</vt:lpstr>
      <vt:lpstr>dfdc</vt:lpstr>
      <vt:lpstr>dfjl</vt:lpstr>
      <vt:lpstr>dfjn</vt:lpstr>
      <vt:lpstr>dfld</vt:lpstr>
      <vt:lpstr>dfmb</vt:lpstr>
      <vt:lpstr>dfnh</vt:lpstr>
      <vt:lpstr>dfrl</vt:lpstr>
      <vt:lpstr>dfsh</vt:lpstr>
      <vt:lpstr>dfsr</vt:lpstr>
      <vt:lpstr>dftz</vt:lpstr>
      <vt:lpstr>dgcp</vt:lpstr>
      <vt:lpstr>dgdr</vt:lpstr>
      <vt:lpstr>dgfj</vt:lpstr>
      <vt:lpstr>dgsn</vt:lpstr>
      <vt:lpstr>dgww</vt:lpstr>
      <vt:lpstr>dhdh</vt:lpstr>
      <vt:lpstr>dhsh</vt:lpstr>
      <vt:lpstr>djbg</vt:lpstr>
      <vt:lpstr>djcf</vt:lpstr>
      <vt:lpstr>djcj</vt:lpstr>
      <vt:lpstr>djdw</vt:lpstr>
      <vt:lpstr>djfh</vt:lpstr>
      <vt:lpstr>djfj</vt:lpstr>
      <vt:lpstr>djgb</vt:lpstr>
      <vt:lpstr>djlm</vt:lpstr>
      <vt:lpstr>djpd</vt:lpstr>
      <vt:lpstr>djpg</vt:lpstr>
      <vt:lpstr>djqn</vt:lpstr>
      <vt:lpstr>djqp</vt:lpstr>
      <vt:lpstr>djtc</vt:lpstr>
      <vt:lpstr>djtd</vt:lpstr>
      <vt:lpstr>djwb</vt:lpstr>
      <vt:lpstr>djzn</vt:lpstr>
      <vt:lpstr>dlcz</vt:lpstr>
      <vt:lpstr>dlfn</vt:lpstr>
      <vt:lpstr>dllv</vt:lpstr>
      <vt:lpstr>dlmj</vt:lpstr>
      <vt:lpstr>dlqt</vt:lpstr>
      <vt:lpstr>dlrc</vt:lpstr>
      <vt:lpstr>dlzm</vt:lpstr>
      <vt:lpstr>dlzq</vt:lpstr>
      <vt:lpstr>dmbg</vt:lpstr>
      <vt:lpstr>dmbl</vt:lpstr>
      <vt:lpstr>dmbw</vt:lpstr>
      <vt:lpstr>dmcb</vt:lpstr>
      <vt:lpstr>dmhg</vt:lpstr>
      <vt:lpstr>dmmh</vt:lpstr>
      <vt:lpstr>dmnh</vt:lpstr>
      <vt:lpstr>dmnv</vt:lpstr>
      <vt:lpstr>dmvm</vt:lpstr>
      <vt:lpstr>dnbq</vt:lpstr>
      <vt:lpstr>dndb</vt:lpstr>
      <vt:lpstr>dngr</vt:lpstr>
      <vt:lpstr>dnhb</vt:lpstr>
      <vt:lpstr>dnhs</vt:lpstr>
      <vt:lpstr>dnjl</vt:lpstr>
      <vt:lpstr>dnlc</vt:lpstr>
      <vt:lpstr>dnmj</vt:lpstr>
      <vt:lpstr>dnnp</vt:lpstr>
      <vt:lpstr>dnpj</vt:lpstr>
      <vt:lpstr>dnsg</vt:lpstr>
      <vt:lpstr>dnvd</vt:lpstr>
      <vt:lpstr>dnzn</vt:lpstr>
      <vt:lpstr>dpbn</vt:lpstr>
      <vt:lpstr>dpcf</vt:lpstr>
      <vt:lpstr>dpdn</vt:lpstr>
      <vt:lpstr>dpgj</vt:lpstr>
      <vt:lpstr>dphb</vt:lpstr>
      <vt:lpstr>dphc</vt:lpstr>
      <vt:lpstr>dphh</vt:lpstr>
      <vt:lpstr>dpmq</vt:lpstr>
      <vt:lpstr>dprf</vt:lpstr>
      <vt:lpstr>dpsp</vt:lpstr>
      <vt:lpstr>dpwl</vt:lpstr>
      <vt:lpstr>dqbq</vt:lpstr>
      <vt:lpstr>dqmj</vt:lpstr>
      <vt:lpstr>dqpj</vt:lpstr>
      <vt:lpstr>dqpr</vt:lpstr>
      <vt:lpstr>dqvf</vt:lpstr>
      <vt:lpstr>dqzp</vt:lpstr>
      <vt:lpstr>drdm</vt:lpstr>
      <vt:lpstr>drft</vt:lpstr>
      <vt:lpstr>drhv</vt:lpstr>
      <vt:lpstr>drlj</vt:lpstr>
      <vt:lpstr>drlm</vt:lpstr>
      <vt:lpstr>drqv</vt:lpstr>
      <vt:lpstr>drsb</vt:lpstr>
      <vt:lpstr>drzh</vt:lpstr>
      <vt:lpstr>drzm</vt:lpstr>
      <vt:lpstr>dsbr</vt:lpstr>
      <vt:lpstr>dslr</vt:lpstr>
      <vt:lpstr>dslt</vt:lpstr>
      <vt:lpstr>dsrn</vt:lpstr>
      <vt:lpstr>dssz</vt:lpstr>
      <vt:lpstr>dtcf</vt:lpstr>
      <vt:lpstr>dtdj</vt:lpstr>
      <vt:lpstr>dtdq</vt:lpstr>
      <vt:lpstr>dtlj</vt:lpstr>
      <vt:lpstr>dtnc</vt:lpstr>
      <vt:lpstr>dttn</vt:lpstr>
      <vt:lpstr>dtww</vt:lpstr>
      <vt:lpstr>dvcq</vt:lpstr>
      <vt:lpstr>dvlb</vt:lpstr>
      <vt:lpstr>dvpt</vt:lpstr>
      <vt:lpstr>dvrd</vt:lpstr>
      <vt:lpstr>dvww</vt:lpstr>
      <vt:lpstr>dwnf</vt:lpstr>
      <vt:lpstr>dwpw</vt:lpstr>
      <vt:lpstr>dwqw</vt:lpstr>
      <vt:lpstr>dwsw</vt:lpstr>
      <vt:lpstr>dwww</vt:lpstr>
      <vt:lpstr>dwzz</vt:lpstr>
      <vt:lpstr>dzbd</vt:lpstr>
      <vt:lpstr>dzdr</vt:lpstr>
      <vt:lpstr>dzgp</vt:lpstr>
      <vt:lpstr>dzvq</vt:lpstr>
      <vt:lpstr>dzwg</vt:lpstr>
      <vt:lpstr>dzzc</vt:lpstr>
      <vt:lpstr>fbbh</vt:lpstr>
      <vt:lpstr>fbbj</vt:lpstr>
      <vt:lpstr>fbcc</vt:lpstr>
      <vt:lpstr>fbdq</vt:lpstr>
      <vt:lpstr>fbhm</vt:lpstr>
      <vt:lpstr>fbls</vt:lpstr>
      <vt:lpstr>fbnq</vt:lpstr>
      <vt:lpstr>fbns</vt:lpstr>
      <vt:lpstr>fbpq</vt:lpstr>
      <vt:lpstr>fbpw</vt:lpstr>
      <vt:lpstr>fbrh</vt:lpstr>
      <vt:lpstr>fbrs</vt:lpstr>
      <vt:lpstr>fbtd</vt:lpstr>
      <vt:lpstr>fbtw</vt:lpstr>
      <vt:lpstr>fbvc</vt:lpstr>
      <vt:lpstr>fbvd</vt:lpstr>
      <vt:lpstr>fcbn</vt:lpstr>
      <vt:lpstr>fccn</vt:lpstr>
      <vt:lpstr>fcdf</vt:lpstr>
      <vt:lpstr>fcdw</vt:lpstr>
      <vt:lpstr>fcns</vt:lpstr>
      <vt:lpstr>fcsr</vt:lpstr>
      <vt:lpstr>fdhc</vt:lpstr>
      <vt:lpstr>fdhl</vt:lpstr>
      <vt:lpstr>fdjr</vt:lpstr>
      <vt:lpstr>fdmh</vt:lpstr>
      <vt:lpstr>fdvb</vt:lpstr>
      <vt:lpstr>fdzp</vt:lpstr>
      <vt:lpstr>ffbd</vt:lpstr>
      <vt:lpstr>ffbt</vt:lpstr>
      <vt:lpstr>ffcn</vt:lpstr>
      <vt:lpstr>ffcz</vt:lpstr>
      <vt:lpstr>ffdb</vt:lpstr>
      <vt:lpstr>ffjs</vt:lpstr>
      <vt:lpstr>ffvh</vt:lpstr>
      <vt:lpstr>ffzf</vt:lpstr>
      <vt:lpstr>fgbg</vt:lpstr>
      <vt:lpstr>fgcf</vt:lpstr>
      <vt:lpstr>fgcp</vt:lpstr>
      <vt:lpstr>fgcz</vt:lpstr>
      <vt:lpstr>fgdw</vt:lpstr>
      <vt:lpstr>fghg</vt:lpstr>
      <vt:lpstr>fghp</vt:lpstr>
      <vt:lpstr>fglh</vt:lpstr>
      <vt:lpstr>fglt</vt:lpstr>
      <vt:lpstr>fgqw</vt:lpstr>
      <vt:lpstr>fhbb</vt:lpstr>
      <vt:lpstr>fhbv</vt:lpstr>
      <vt:lpstr>fhhh</vt:lpstr>
      <vt:lpstr>fhlm</vt:lpstr>
      <vt:lpstr>fhpt</vt:lpstr>
      <vt:lpstr>fhql</vt:lpstr>
      <vt:lpstr>fhqm</vt:lpstr>
      <vt:lpstr>fhqr</vt:lpstr>
      <vt:lpstr>fhrb</vt:lpstr>
      <vt:lpstr>fhvc</vt:lpstr>
      <vt:lpstr>fhzl</vt:lpstr>
      <vt:lpstr>fjhr</vt:lpstr>
      <vt:lpstr>fjjc</vt:lpstr>
      <vt:lpstr>fjlv</vt:lpstr>
      <vt:lpstr>fjrd</vt:lpstr>
      <vt:lpstr>fjrw</vt:lpstr>
      <vt:lpstr>fjwb</vt:lpstr>
      <vt:lpstr>fjzq</vt:lpstr>
      <vt:lpstr>flbp</vt:lpstr>
      <vt:lpstr>flgh</vt:lpstr>
      <vt:lpstr>flhn</vt:lpstr>
      <vt:lpstr>flnj</vt:lpstr>
      <vt:lpstr>flwb</vt:lpstr>
      <vt:lpstr>flwl</vt:lpstr>
      <vt:lpstr>fmdb</vt:lpstr>
      <vt:lpstr>fmds</vt:lpstr>
      <vt:lpstr>fmfm</vt:lpstr>
      <vt:lpstr>fmhr</vt:lpstr>
      <vt:lpstr>fmjb</vt:lpstr>
      <vt:lpstr>fmjc</vt:lpstr>
      <vt:lpstr>fmnd</vt:lpstr>
      <vt:lpstr>fmnv</vt:lpstr>
      <vt:lpstr>fmpg</vt:lpstr>
      <vt:lpstr>fngh</vt:lpstr>
      <vt:lpstr>fnpv</vt:lpstr>
      <vt:lpstr>fnvn</vt:lpstr>
      <vt:lpstr>fpdc</vt:lpstr>
      <vt:lpstr>fplw</vt:lpstr>
      <vt:lpstr>fppg</vt:lpstr>
      <vt:lpstr>fppn</vt:lpstr>
      <vt:lpstr>fqbn</vt:lpstr>
      <vt:lpstr>fqgg</vt:lpstr>
      <vt:lpstr>fqhp</vt:lpstr>
      <vt:lpstr>fqjw</vt:lpstr>
      <vt:lpstr>fqmr</vt:lpstr>
      <vt:lpstr>fqrh</vt:lpstr>
      <vt:lpstr>fqrj</vt:lpstr>
      <vt:lpstr>frdq</vt:lpstr>
      <vt:lpstr>frgg</vt:lpstr>
      <vt:lpstr>frjf</vt:lpstr>
      <vt:lpstr>frjt</vt:lpstr>
      <vt:lpstr>frlb</vt:lpstr>
      <vt:lpstr>frpq</vt:lpstr>
      <vt:lpstr>frrv</vt:lpstr>
      <vt:lpstr>frsn</vt:lpstr>
      <vt:lpstr>frzv</vt:lpstr>
      <vt:lpstr>fsbd</vt:lpstr>
      <vt:lpstr>fsdw</vt:lpstr>
      <vt:lpstr>fsgb</vt:lpstr>
      <vt:lpstr>fshs</vt:lpstr>
      <vt:lpstr>fsjt</vt:lpstr>
      <vt:lpstr>fsqb</vt:lpstr>
      <vt:lpstr>fsqc</vt:lpstr>
      <vt:lpstr>fssq</vt:lpstr>
      <vt:lpstr>fssv</vt:lpstr>
      <vt:lpstr>fswf</vt:lpstr>
      <vt:lpstr>fswg</vt:lpstr>
      <vt:lpstr>ftbp</vt:lpstr>
      <vt:lpstr>fths</vt:lpstr>
      <vt:lpstr>ftnw</vt:lpstr>
      <vt:lpstr>ftpd</vt:lpstr>
      <vt:lpstr>ftpg</vt:lpstr>
      <vt:lpstr>ftqp</vt:lpstr>
      <vt:lpstr>ftvs</vt:lpstr>
      <vt:lpstr>fvbq</vt:lpstr>
      <vt:lpstr>fvhj</vt:lpstr>
      <vt:lpstr>fvjt</vt:lpstr>
      <vt:lpstr>fvmv</vt:lpstr>
      <vt:lpstr>fvpc</vt:lpstr>
      <vt:lpstr>fvqm</vt:lpstr>
      <vt:lpstr>fvqt</vt:lpstr>
      <vt:lpstr>fvwq</vt:lpstr>
      <vt:lpstr>fwgr</vt:lpstr>
      <vt:lpstr>fwhh</vt:lpstr>
      <vt:lpstr>fwlb</vt:lpstr>
      <vt:lpstr>fwln</vt:lpstr>
      <vt:lpstr>fwlr</vt:lpstr>
      <vt:lpstr>fwsl</vt:lpstr>
      <vt:lpstr>fwsv</vt:lpstr>
      <vt:lpstr>fwtg</vt:lpstr>
      <vt:lpstr>fwzt</vt:lpstr>
      <vt:lpstr>fzgw</vt:lpstr>
      <vt:lpstr>fzms</vt:lpstr>
      <vt:lpstr>fzpn</vt:lpstr>
      <vt:lpstr>fzrq</vt:lpstr>
      <vt:lpstr>fzwr</vt:lpstr>
      <vt:lpstr>fzzt</vt:lpstr>
      <vt:lpstr>gbgw</vt:lpstr>
      <vt:lpstr>gblb</vt:lpstr>
      <vt:lpstr>gblc</vt:lpstr>
      <vt:lpstr>gblg</vt:lpstr>
      <vt:lpstr>gbnd</vt:lpstr>
      <vt:lpstr>gbqp</vt:lpstr>
      <vt:lpstr>gbqz</vt:lpstr>
      <vt:lpstr>gbrj</vt:lpstr>
      <vt:lpstr>gbrr</vt:lpstr>
      <vt:lpstr>gbtz</vt:lpstr>
      <vt:lpstr>gbvr</vt:lpstr>
      <vt:lpstr>gbzb</vt:lpstr>
      <vt:lpstr>gchc</vt:lpstr>
      <vt:lpstr>gchw</vt:lpstr>
      <vt:lpstr>gcjd</vt:lpstr>
      <vt:lpstr>gcjz</vt:lpstr>
      <vt:lpstr>gcln</vt:lpstr>
      <vt:lpstr>gcrd</vt:lpstr>
      <vt:lpstr>gcsn</vt:lpstr>
      <vt:lpstr>gctl</vt:lpstr>
      <vt:lpstr>gczg</vt:lpstr>
      <vt:lpstr>gczl</vt:lpstr>
      <vt:lpstr>gczs</vt:lpstr>
      <vt:lpstr>gdcj</vt:lpstr>
      <vt:lpstr>gddh</vt:lpstr>
      <vt:lpstr>gdfr</vt:lpstr>
      <vt:lpstr>gdnj</vt:lpstr>
      <vt:lpstr>gdnl</vt:lpstr>
      <vt:lpstr>gdqd</vt:lpstr>
      <vt:lpstr>gdqr</vt:lpstr>
      <vt:lpstr>gdrl</vt:lpstr>
      <vt:lpstr>gdsq</vt:lpstr>
      <vt:lpstr>gdsr</vt:lpstr>
      <vt:lpstr>gdsz</vt:lpstr>
      <vt:lpstr>gdzh</vt:lpstr>
      <vt:lpstr>gfcd</vt:lpstr>
      <vt:lpstr>gffg</vt:lpstr>
      <vt:lpstr>gffr</vt:lpstr>
      <vt:lpstr>gflm</vt:lpstr>
      <vt:lpstr>gflq</vt:lpstr>
      <vt:lpstr>gfmb</vt:lpstr>
      <vt:lpstr>gfsh</vt:lpstr>
      <vt:lpstr>gfvd</vt:lpstr>
      <vt:lpstr>gfzs</vt:lpstr>
      <vt:lpstr>ggfm</vt:lpstr>
      <vt:lpstr>ggjg</vt:lpstr>
      <vt:lpstr>ggll</vt:lpstr>
      <vt:lpstr>ggnb</vt:lpstr>
      <vt:lpstr>ggnn</vt:lpstr>
      <vt:lpstr>ggpb</vt:lpstr>
      <vt:lpstr>ggrf</vt:lpstr>
      <vt:lpstr>ggvc</vt:lpstr>
      <vt:lpstr>ggzt</vt:lpstr>
      <vt:lpstr>ghqg</vt:lpstr>
      <vt:lpstr>ghtq</vt:lpstr>
      <vt:lpstr>ghvt</vt:lpstr>
      <vt:lpstr>gjdq</vt:lpstr>
      <vt:lpstr>gjgw</vt:lpstr>
      <vt:lpstr>gjsc</vt:lpstr>
      <vt:lpstr>gjwj</vt:lpstr>
      <vt:lpstr>gjzt</vt:lpstr>
      <vt:lpstr>gldc</vt:lpstr>
      <vt:lpstr>gldq</vt:lpstr>
      <vt:lpstr>gljf</vt:lpstr>
      <vt:lpstr>gljs</vt:lpstr>
      <vt:lpstr>glmd</vt:lpstr>
      <vt:lpstr>glpn</vt:lpstr>
      <vt:lpstr>glps</vt:lpstr>
      <vt:lpstr>glqg</vt:lpstr>
      <vt:lpstr>glws</vt:lpstr>
      <vt:lpstr>gmbg</vt:lpstr>
      <vt:lpstr>gmbw</vt:lpstr>
      <vt:lpstr>gmhr</vt:lpstr>
      <vt:lpstr>gmld</vt:lpstr>
      <vt:lpstr>gmlr</vt:lpstr>
      <vt:lpstr>gmnw</vt:lpstr>
      <vt:lpstr>gmrp</vt:lpstr>
      <vt:lpstr>gmsj</vt:lpstr>
      <vt:lpstr>gmwp</vt:lpstr>
      <vt:lpstr>gndt</vt:lpstr>
      <vt:lpstr>gndz</vt:lpstr>
      <vt:lpstr>gnfz</vt:lpstr>
      <vt:lpstr>gnpd</vt:lpstr>
      <vt:lpstr>gnpz</vt:lpstr>
      <vt:lpstr>gnqp</vt:lpstr>
      <vt:lpstr>gnsg</vt:lpstr>
      <vt:lpstr>gnwc</vt:lpstr>
      <vt:lpstr>gnzn</vt:lpstr>
      <vt:lpstr>gpcg</vt:lpstr>
      <vt:lpstr>gphq</vt:lpstr>
      <vt:lpstr>gqcv</vt:lpstr>
      <vt:lpstr>gqdg</vt:lpstr>
      <vt:lpstr>gqgj</vt:lpstr>
      <vt:lpstr>gqhq</vt:lpstr>
      <vt:lpstr>gqlq</vt:lpstr>
      <vt:lpstr>gqpp</vt:lpstr>
      <vt:lpstr>gqqr</vt:lpstr>
      <vt:lpstr>gqtt</vt:lpstr>
      <vt:lpstr>gqvp</vt:lpstr>
      <vt:lpstr>gqvv</vt:lpstr>
      <vt:lpstr>gqwq</vt:lpstr>
      <vt:lpstr>gqzz</vt:lpstr>
      <vt:lpstr>grgf</vt:lpstr>
      <vt:lpstr>grgs</vt:lpstr>
      <vt:lpstr>grln</vt:lpstr>
      <vt:lpstr>grmr</vt:lpstr>
      <vt:lpstr>grnh</vt:lpstr>
      <vt:lpstr>grrb</vt:lpstr>
      <vt:lpstr>grsv</vt:lpstr>
      <vt:lpstr>grws</vt:lpstr>
      <vt:lpstr>gsbn</vt:lpstr>
      <vt:lpstr>gsdr</vt:lpstr>
      <vt:lpstr>gsfj</vt:lpstr>
      <vt:lpstr>gsft</vt:lpstr>
      <vt:lpstr>gsgf</vt:lpstr>
      <vt:lpstr>gslc</vt:lpstr>
      <vt:lpstr>gsmv</vt:lpstr>
      <vt:lpstr>gspb</vt:lpstr>
      <vt:lpstr>gsqp</vt:lpstr>
      <vt:lpstr>gtfz</vt:lpstr>
      <vt:lpstr>gtjc</vt:lpstr>
      <vt:lpstr>gtjm</vt:lpstr>
      <vt:lpstr>gttj</vt:lpstr>
      <vt:lpstr>gtzp</vt:lpstr>
      <vt:lpstr>gvcr</vt:lpstr>
      <vt:lpstr>gvfg</vt:lpstr>
      <vt:lpstr>gvht</vt:lpstr>
      <vt:lpstr>gvjm</vt:lpstr>
      <vt:lpstr>gvmd</vt:lpstr>
      <vt:lpstr>gvpn</vt:lpstr>
      <vt:lpstr>gwcc</vt:lpstr>
      <vt:lpstr>gwfq</vt:lpstr>
      <vt:lpstr>gwgm</vt:lpstr>
      <vt:lpstr>gwjf</vt:lpstr>
      <vt:lpstr>gwjm</vt:lpstr>
      <vt:lpstr>gwlf</vt:lpstr>
      <vt:lpstr>gwpn</vt:lpstr>
      <vt:lpstr>gwrb</vt:lpstr>
      <vt:lpstr>gzfn</vt:lpstr>
      <vt:lpstr>gzhz</vt:lpstr>
      <vt:lpstr>gzmv</vt:lpstr>
      <vt:lpstr>gzsv</vt:lpstr>
      <vt:lpstr>gzww</vt:lpstr>
      <vt:lpstr>hbbv</vt:lpstr>
      <vt:lpstr>hbcq</vt:lpstr>
      <vt:lpstr>hbdh</vt:lpstr>
      <vt:lpstr>hbjc</vt:lpstr>
      <vt:lpstr>hbln</vt:lpstr>
      <vt:lpstr>hbmp</vt:lpstr>
      <vt:lpstr>hbmr</vt:lpstr>
      <vt:lpstr>hbnm</vt:lpstr>
      <vt:lpstr>hbns</vt:lpstr>
      <vt:lpstr>hbqw</vt:lpstr>
      <vt:lpstr>hbtb</vt:lpstr>
      <vt:lpstr>hbtr</vt:lpstr>
      <vt:lpstr>hbvd</vt:lpstr>
      <vt:lpstr>hcbm</vt:lpstr>
      <vt:lpstr>hccv</vt:lpstr>
      <vt:lpstr>hcdv</vt:lpstr>
      <vt:lpstr>hcfq</vt:lpstr>
      <vt:lpstr>hchd</vt:lpstr>
      <vt:lpstr>hchn</vt:lpstr>
      <vt:lpstr>hclm</vt:lpstr>
      <vt:lpstr>hcmh</vt:lpstr>
      <vt:lpstr>hcmr</vt:lpstr>
      <vt:lpstr>hcnv</vt:lpstr>
      <vt:lpstr>hcpl</vt:lpstr>
      <vt:lpstr>hcsn</vt:lpstr>
      <vt:lpstr>hcsr</vt:lpstr>
      <vt:lpstr>hctp</vt:lpstr>
      <vt:lpstr>hcts</vt:lpstr>
      <vt:lpstr>hczs</vt:lpstr>
      <vt:lpstr>hdjt</vt:lpstr>
      <vt:lpstr>hdnn</vt:lpstr>
      <vt:lpstr>hdpr</vt:lpstr>
      <vt:lpstr>hdpt</vt:lpstr>
      <vt:lpstr>hdvf</vt:lpstr>
      <vt:lpstr>hfbb</vt:lpstr>
      <vt:lpstr>hfbv</vt:lpstr>
      <vt:lpstr>hfcl</vt:lpstr>
      <vt:lpstr>hfdq</vt:lpstr>
      <vt:lpstr>hfjm</vt:lpstr>
      <vt:lpstr>hfmd</vt:lpstr>
      <vt:lpstr>hfmg</vt:lpstr>
      <vt:lpstr>hfnn</vt:lpstr>
      <vt:lpstr>hfpr</vt:lpstr>
      <vt:lpstr>hfss</vt:lpstr>
      <vt:lpstr>hfvw</vt:lpstr>
      <vt:lpstr>hfzr</vt:lpstr>
      <vt:lpstr>hfzt</vt:lpstr>
      <vt:lpstr>hgcd</vt:lpstr>
      <vt:lpstr>hgcp</vt:lpstr>
      <vt:lpstr>hgfg</vt:lpstr>
      <vt:lpstr>hggm</vt:lpstr>
      <vt:lpstr>hglp</vt:lpstr>
      <vt:lpstr>hgtf</vt:lpstr>
      <vt:lpstr>hgvw</vt:lpstr>
      <vt:lpstr>hgwg</vt:lpstr>
      <vt:lpstr>hhbj</vt:lpstr>
      <vt:lpstr>hhdm</vt:lpstr>
      <vt:lpstr>hhds</vt:lpstr>
      <vt:lpstr>hhgt</vt:lpstr>
      <vt:lpstr>hhmq</vt:lpstr>
      <vt:lpstr>hhnb</vt:lpstr>
      <vt:lpstr>hhnt</vt:lpstr>
      <vt:lpstr>hhwh</vt:lpstr>
      <vt:lpstr>hhzp</vt:lpstr>
      <vt:lpstr>hjbt</vt:lpstr>
      <vt:lpstr>hjdh</vt:lpstr>
      <vt:lpstr>hjds</vt:lpstr>
      <vt:lpstr>hjls</vt:lpstr>
      <vt:lpstr>hjrw</vt:lpstr>
      <vt:lpstr>hjsw</vt:lpstr>
      <vt:lpstr>hlcm</vt:lpstr>
      <vt:lpstr>hlcp</vt:lpstr>
      <vt:lpstr>hlht</vt:lpstr>
      <vt:lpstr>hlmj</vt:lpstr>
      <vt:lpstr>hlqb</vt:lpstr>
      <vt:lpstr>hlqd</vt:lpstr>
      <vt:lpstr>hlqq</vt:lpstr>
      <vt:lpstr>hlsn</vt:lpstr>
      <vt:lpstr>hlzd</vt:lpstr>
      <vt:lpstr>hmbc</vt:lpstr>
      <vt:lpstr>hmch</vt:lpstr>
      <vt:lpstr>hmcv</vt:lpstr>
      <vt:lpstr>hmdt</vt:lpstr>
      <vt:lpstr>hmfr</vt:lpstr>
      <vt:lpstr>hmfz</vt:lpstr>
      <vt:lpstr>hmgv</vt:lpstr>
      <vt:lpstr>hmls</vt:lpstr>
      <vt:lpstr>hmqs</vt:lpstr>
      <vt:lpstr>hmrb</vt:lpstr>
      <vt:lpstr>hmwf</vt:lpstr>
      <vt:lpstr>hnbl</vt:lpstr>
      <vt:lpstr>hnct</vt:lpstr>
      <vt:lpstr>hnfz</vt:lpstr>
      <vt:lpstr>hnhp</vt:lpstr>
      <vt:lpstr>hnhs</vt:lpstr>
      <vt:lpstr>hnlt</vt:lpstr>
      <vt:lpstr>hnmm</vt:lpstr>
      <vt:lpstr>hnvb</vt:lpstr>
      <vt:lpstr>hpbc</vt:lpstr>
      <vt:lpstr>hpdd</vt:lpstr>
      <vt:lpstr>hpdl</vt:lpstr>
      <vt:lpstr>hpdn</vt:lpstr>
      <vt:lpstr>hpdz</vt:lpstr>
      <vt:lpstr>hpfr</vt:lpstr>
      <vt:lpstr>hphq</vt:lpstr>
      <vt:lpstr>hphz</vt:lpstr>
      <vt:lpstr>hpmd</vt:lpstr>
      <vt:lpstr>hpmn</vt:lpstr>
      <vt:lpstr>hprc</vt:lpstr>
      <vt:lpstr>hpwf</vt:lpstr>
      <vt:lpstr>hpzr</vt:lpstr>
      <vt:lpstr>hqbr</vt:lpstr>
      <vt:lpstr>hqbt</vt:lpstr>
      <vt:lpstr>hqch</vt:lpstr>
      <vt:lpstr>hqdc</vt:lpstr>
      <vt:lpstr>hqdn</vt:lpstr>
      <vt:lpstr>hqhv</vt:lpstr>
      <vt:lpstr>hqjz</vt:lpstr>
      <vt:lpstr>hqlq</vt:lpstr>
      <vt:lpstr>hqmb</vt:lpstr>
      <vt:lpstr>hqmn</vt:lpstr>
      <vt:lpstr>hqnp</vt:lpstr>
      <vt:lpstr>hqnr</vt:lpstr>
      <vt:lpstr>hqnz</vt:lpstr>
      <vt:lpstr>hrbq</vt:lpstr>
      <vt:lpstr>hrgg</vt:lpstr>
      <vt:lpstr>hrmd</vt:lpstr>
      <vt:lpstr>hrnf</vt:lpstr>
      <vt:lpstr>hrnj</vt:lpstr>
      <vt:lpstr>hrpz</vt:lpstr>
      <vt:lpstr>hrvv</vt:lpstr>
      <vt:lpstr>hscb</vt:lpstr>
      <vt:lpstr>hsdq</vt:lpstr>
      <vt:lpstr>hsfn</vt:lpstr>
      <vt:lpstr>hsnn</vt:lpstr>
      <vt:lpstr>hspt</vt:lpstr>
      <vt:lpstr>htbd</vt:lpstr>
      <vt:lpstr>htcn</vt:lpstr>
      <vt:lpstr>htqn</vt:lpstr>
      <vt:lpstr>htqw</vt:lpstr>
      <vt:lpstr>htvj</vt:lpstr>
      <vt:lpstr>htww</vt:lpstr>
      <vt:lpstr>htzn</vt:lpstr>
      <vt:lpstr>humn</vt:lpstr>
      <vt:lpstr>hvfr</vt:lpstr>
      <vt:lpstr>hvhj</vt:lpstr>
      <vt:lpstr>hvjj</vt:lpstr>
      <vt:lpstr>hvlg</vt:lpstr>
      <vt:lpstr>hvqz</vt:lpstr>
      <vt:lpstr>hvsg</vt:lpstr>
      <vt:lpstr>hvsm</vt:lpstr>
      <vt:lpstr>hvtp</vt:lpstr>
      <vt:lpstr>hvtr</vt:lpstr>
      <vt:lpstr>hvwp</vt:lpstr>
      <vt:lpstr>hwbw</vt:lpstr>
      <vt:lpstr>hwcg</vt:lpstr>
      <vt:lpstr>hwll</vt:lpstr>
      <vt:lpstr>hwln</vt:lpstr>
      <vt:lpstr>hwmg</vt:lpstr>
      <vt:lpstr>hzcg</vt:lpstr>
      <vt:lpstr>hzgc</vt:lpstr>
      <vt:lpstr>hzhc</vt:lpstr>
      <vt:lpstr>hzhf</vt:lpstr>
      <vt:lpstr>hzhr</vt:lpstr>
      <vt:lpstr>hznq</vt:lpstr>
      <vt:lpstr>hzpg</vt:lpstr>
      <vt:lpstr>hzpn</vt:lpstr>
      <vt:lpstr>hzpt</vt:lpstr>
      <vt:lpstr>hzrt</vt:lpstr>
      <vt:lpstr>hzsg</vt:lpstr>
      <vt:lpstr>hzsh</vt:lpstr>
      <vt:lpstr>hzwg</vt:lpstr>
      <vt:lpstr>hzzp</vt:lpstr>
      <vt:lpstr>jbcb</vt:lpstr>
      <vt:lpstr>jbhb</vt:lpstr>
      <vt:lpstr>jbls</vt:lpstr>
      <vt:lpstr>jbwl</vt:lpstr>
      <vt:lpstr>jcbp</vt:lpstr>
      <vt:lpstr>jccn</vt:lpstr>
      <vt:lpstr>jcdn</vt:lpstr>
      <vt:lpstr>jcdw</vt:lpstr>
      <vt:lpstr>jcfj</vt:lpstr>
      <vt:lpstr>jcjp</vt:lpstr>
      <vt:lpstr>jcjs</vt:lpstr>
      <vt:lpstr>jclw</vt:lpstr>
      <vt:lpstr>jcnn</vt:lpstr>
      <vt:lpstr>jcpj</vt:lpstr>
      <vt:lpstr>jcqs</vt:lpstr>
      <vt:lpstr>jcsq</vt:lpstr>
      <vt:lpstr>jcsw</vt:lpstr>
      <vt:lpstr>jcvd</vt:lpstr>
      <vt:lpstr>jcwh</vt:lpstr>
      <vt:lpstr>jcwp</vt:lpstr>
      <vt:lpstr>jczp</vt:lpstr>
      <vt:lpstr>jczr</vt:lpstr>
      <vt:lpstr>jdbd</vt:lpstr>
      <vt:lpstr>jddn</vt:lpstr>
      <vt:lpstr>jdgm</vt:lpstr>
      <vt:lpstr>jdmc</vt:lpstr>
      <vt:lpstr>jdqq</vt:lpstr>
      <vt:lpstr>jdqw</vt:lpstr>
      <vt:lpstr>jdsb</vt:lpstr>
      <vt:lpstr>jdvb</vt:lpstr>
      <vt:lpstr>jdwq</vt:lpstr>
      <vt:lpstr>jfbb</vt:lpstr>
      <vt:lpstr>jfhf</vt:lpstr>
      <vt:lpstr>jfnp</vt:lpstr>
      <vt:lpstr>jfnr</vt:lpstr>
      <vt:lpstr>jfpv</vt:lpstr>
      <vt:lpstr>jfqj</vt:lpstr>
      <vt:lpstr>jfrp</vt:lpstr>
      <vt:lpstr>jgcf</vt:lpstr>
      <vt:lpstr>jgfl</vt:lpstr>
      <vt:lpstr>jgfp</vt:lpstr>
      <vt:lpstr>jgmg</vt:lpstr>
      <vt:lpstr>jgpd</vt:lpstr>
      <vt:lpstr>jgrd</vt:lpstr>
      <vt:lpstr>jgsn</vt:lpstr>
      <vt:lpstr>jgvd</vt:lpstr>
      <vt:lpstr>jgzl</vt:lpstr>
      <vt:lpstr>jhcr</vt:lpstr>
      <vt:lpstr>jhdf</vt:lpstr>
      <vt:lpstr>jhgf</vt:lpstr>
      <vt:lpstr>jhgp</vt:lpstr>
      <vt:lpstr>jhhj</vt:lpstr>
      <vt:lpstr>jhjf</vt:lpstr>
      <vt:lpstr>jhjh</vt:lpstr>
      <vt:lpstr>jhmj</vt:lpstr>
      <vt:lpstr>jhpf</vt:lpstr>
      <vt:lpstr>jhpr</vt:lpstr>
      <vt:lpstr>jjbd</vt:lpstr>
      <vt:lpstr>jjbm</vt:lpstr>
      <vt:lpstr>jjfq</vt:lpstr>
      <vt:lpstr>jjjz</vt:lpstr>
      <vt:lpstr>jjwr</vt:lpstr>
      <vt:lpstr>jlbh</vt:lpstr>
      <vt:lpstr>jldj</vt:lpstr>
      <vt:lpstr>jlff</vt:lpstr>
      <vt:lpstr>jllh</vt:lpstr>
      <vt:lpstr>jlnj</vt:lpstr>
      <vt:lpstr>jlpb</vt:lpstr>
      <vt:lpstr>jlvt</vt:lpstr>
      <vt:lpstr>jmdz</vt:lpstr>
      <vt:lpstr>jmqz</vt:lpstr>
      <vt:lpstr>jmrf</vt:lpstr>
      <vt:lpstr>jmvc</vt:lpstr>
      <vt:lpstr>jnbd</vt:lpstr>
      <vt:lpstr>jnbr</vt:lpstr>
      <vt:lpstr>jncn</vt:lpstr>
      <vt:lpstr>jnct</vt:lpstr>
      <vt:lpstr>jnhg</vt:lpstr>
      <vt:lpstr>jnhj</vt:lpstr>
      <vt:lpstr>jnjq</vt:lpstr>
      <vt:lpstr>jnld</vt:lpstr>
      <vt:lpstr>jnqm</vt:lpstr>
      <vt:lpstr>jnqr</vt:lpstr>
      <vt:lpstr>jnqw</vt:lpstr>
      <vt:lpstr>jnrz</vt:lpstr>
      <vt:lpstr>jnzm</vt:lpstr>
      <vt:lpstr>jpbs</vt:lpstr>
      <vt:lpstr>jpdg</vt:lpstr>
      <vt:lpstr>jpdt</vt:lpstr>
      <vt:lpstr>jpdw</vt:lpstr>
      <vt:lpstr>jpgp</vt:lpstr>
      <vt:lpstr>jphc</vt:lpstr>
      <vt:lpstr>jppl</vt:lpstr>
      <vt:lpstr>jppq</vt:lpstr>
      <vt:lpstr>jpqz</vt:lpstr>
      <vt:lpstr>jpsb</vt:lpstr>
      <vt:lpstr>jpvw</vt:lpstr>
      <vt:lpstr>jpzn</vt:lpstr>
      <vt:lpstr>jpzq</vt:lpstr>
      <vt:lpstr>jqbn</vt:lpstr>
      <vt:lpstr>jqcr</vt:lpstr>
      <vt:lpstr>jqdc</vt:lpstr>
      <vt:lpstr>jqdw</vt:lpstr>
      <vt:lpstr>jqff</vt:lpstr>
      <vt:lpstr>jqfq</vt:lpstr>
      <vt:lpstr>jqjm</vt:lpstr>
      <vt:lpstr>jqnh</vt:lpstr>
      <vt:lpstr>jqvn</vt:lpstr>
      <vt:lpstr>jqvz</vt:lpstr>
      <vt:lpstr>jrcr</vt:lpstr>
      <vt:lpstr>jrfb</vt:lpstr>
      <vt:lpstr>jrgn</vt:lpstr>
      <vt:lpstr>jrld</vt:lpstr>
      <vt:lpstr>jrnr</vt:lpstr>
      <vt:lpstr>jrrn</vt:lpstr>
      <vt:lpstr>jrrq</vt:lpstr>
      <vt:lpstr>jrzc</vt:lpstr>
      <vt:lpstr>jrzs</vt:lpstr>
      <vt:lpstr>jsfb</vt:lpstr>
      <vt:lpstr>jsfs</vt:lpstr>
      <vt:lpstr>jshj</vt:lpstr>
      <vt:lpstr>jshp</vt:lpstr>
      <vt:lpstr>jsms</vt:lpstr>
      <vt:lpstr>jsqn</vt:lpstr>
      <vt:lpstr>jsqp</vt:lpstr>
      <vt:lpstr>jsqt</vt:lpstr>
      <vt:lpstr>jsqw</vt:lpstr>
      <vt:lpstr>jsrs</vt:lpstr>
      <vt:lpstr>jssm</vt:lpstr>
      <vt:lpstr>jssw</vt:lpstr>
      <vt:lpstr>jstb</vt:lpstr>
      <vt:lpstr>jsvd</vt:lpstr>
      <vt:lpstr>jsvp</vt:lpstr>
      <vt:lpstr>jswp</vt:lpstr>
      <vt:lpstr>jszm</vt:lpstr>
      <vt:lpstr>jtbj</vt:lpstr>
      <vt:lpstr>jtdd</vt:lpstr>
      <vt:lpstr>jtjj</vt:lpstr>
      <vt:lpstr>jtpg</vt:lpstr>
      <vt:lpstr>jtph</vt:lpstr>
      <vt:lpstr>jtpm</vt:lpstr>
      <vt:lpstr>jtpw</vt:lpstr>
      <vt:lpstr>jtwm</vt:lpstr>
      <vt:lpstr>jvmf</vt:lpstr>
      <vt:lpstr>jvpg</vt:lpstr>
      <vt:lpstr>jvpl</vt:lpstr>
      <vt:lpstr>jvpm</vt:lpstr>
      <vt:lpstr>jvtr</vt:lpstr>
      <vt:lpstr>jvzn</vt:lpstr>
      <vt:lpstr>jwcv</vt:lpstr>
      <vt:lpstr>jwhr</vt:lpstr>
      <vt:lpstr>jwnj</vt:lpstr>
      <vt:lpstr>jwph</vt:lpstr>
      <vt:lpstr>jwql</vt:lpstr>
      <vt:lpstr>jwwr</vt:lpstr>
      <vt:lpstr>jzbv</vt:lpstr>
      <vt:lpstr>jzhw</vt:lpstr>
      <vt:lpstr>jzhz</vt:lpstr>
      <vt:lpstr>jzpn</vt:lpstr>
      <vt:lpstr>jzps</vt:lpstr>
      <vt:lpstr>jzqd</vt:lpstr>
      <vt:lpstr>jzth</vt:lpstr>
      <vt:lpstr>lbbb</vt:lpstr>
      <vt:lpstr>lbhd</vt:lpstr>
      <vt:lpstr>lbhh</vt:lpstr>
      <vt:lpstr>lbht</vt:lpstr>
      <vt:lpstr>lbnq</vt:lpstr>
      <vt:lpstr>lbzl</vt:lpstr>
      <vt:lpstr>lcmm</vt:lpstr>
      <vt:lpstr>lcst</vt:lpstr>
      <vt:lpstr>lctb</vt:lpstr>
      <vt:lpstr>lcwp</vt:lpstr>
      <vt:lpstr>ldcc</vt:lpstr>
      <vt:lpstr>ldch</vt:lpstr>
      <vt:lpstr>ldcj</vt:lpstr>
      <vt:lpstr>ldcn</vt:lpstr>
      <vt:lpstr>lddv</vt:lpstr>
      <vt:lpstr>ldgd</vt:lpstr>
      <vt:lpstr>ldgh</vt:lpstr>
      <vt:lpstr>ldjd</vt:lpstr>
      <vt:lpstr>ldnh</vt:lpstr>
      <vt:lpstr>ldvj</vt:lpstr>
      <vt:lpstr>lfcg</vt:lpstr>
      <vt:lpstr>lfdb</vt:lpstr>
      <vt:lpstr>lfgc</vt:lpstr>
      <vt:lpstr>lfgv</vt:lpstr>
      <vt:lpstr>lfjq</vt:lpstr>
      <vt:lpstr>lfqf</vt:lpstr>
      <vt:lpstr>lfrm</vt:lpstr>
      <vt:lpstr>lfvh</vt:lpstr>
      <vt:lpstr>lggm</vt:lpstr>
      <vt:lpstr>lgln</vt:lpstr>
      <vt:lpstr>lgnj</vt:lpstr>
      <vt:lpstr>lgpm</vt:lpstr>
      <vt:lpstr>lgpq</vt:lpstr>
      <vt:lpstr>lgst</vt:lpstr>
      <vt:lpstr>lgvd</vt:lpstr>
      <vt:lpstr>lhcg</vt:lpstr>
      <vt:lpstr>lhcr</vt:lpstr>
      <vt:lpstr>lhfl</vt:lpstr>
      <vt:lpstr>lhfq</vt:lpstr>
      <vt:lpstr>lhjp</vt:lpstr>
      <vt:lpstr>lhml</vt:lpstr>
      <vt:lpstr>lhpg</vt:lpstr>
      <vt:lpstr>lhpt</vt:lpstr>
      <vt:lpstr>lhwn</vt:lpstr>
      <vt:lpstr>ljcm</vt:lpstr>
      <vt:lpstr>ljgn</vt:lpstr>
      <vt:lpstr>ljhq</vt:lpstr>
      <vt:lpstr>ljjb</vt:lpstr>
      <vt:lpstr>ljlj</vt:lpstr>
      <vt:lpstr>ljng</vt:lpstr>
      <vt:lpstr>ljpc</vt:lpstr>
      <vt:lpstr>ljqw</vt:lpstr>
      <vt:lpstr>ljtw</vt:lpstr>
      <vt:lpstr>llbw</vt:lpstr>
      <vt:lpstr>llcr</vt:lpstr>
      <vt:lpstr>llhf</vt:lpstr>
      <vt:lpstr>lljn</vt:lpstr>
      <vt:lpstr>lllf</vt:lpstr>
      <vt:lpstr>llmq</vt:lpstr>
      <vt:lpstr>llpb</vt:lpstr>
      <vt:lpstr>lltc</vt:lpstr>
      <vt:lpstr>llvf</vt:lpstr>
      <vt:lpstr>llzj</vt:lpstr>
      <vt:lpstr>llzl</vt:lpstr>
      <vt:lpstr>llzw</vt:lpstr>
      <vt:lpstr>lmbf</vt:lpstr>
      <vt:lpstr>lmcn</vt:lpstr>
      <vt:lpstr>lmlf</vt:lpstr>
      <vt:lpstr>lmlq</vt:lpstr>
      <vt:lpstr>lmvq</vt:lpstr>
      <vt:lpstr>lmzd</vt:lpstr>
      <vt:lpstr>lncq</vt:lpstr>
      <vt:lpstr>lncv</vt:lpstr>
      <vt:lpstr>lndq</vt:lpstr>
      <vt:lpstr>lnrd</vt:lpstr>
      <vt:lpstr>lnsn</vt:lpstr>
      <vt:lpstr>lnwm</vt:lpstr>
      <vt:lpstr>lpfg</vt:lpstr>
      <vt:lpstr>lphm</vt:lpstr>
      <vt:lpstr>lpjt</vt:lpstr>
      <vt:lpstr>lplv</vt:lpstr>
      <vt:lpstr>lpmb</vt:lpstr>
      <vt:lpstr>lpqd</vt:lpstr>
      <vt:lpstr>lpqn</vt:lpstr>
      <vt:lpstr>lpwc</vt:lpstr>
      <vt:lpstr>lpzn</vt:lpstr>
      <vt:lpstr>lqgf</vt:lpstr>
      <vt:lpstr>lqgr</vt:lpstr>
      <vt:lpstr>lqht</vt:lpstr>
      <vt:lpstr>lqjf</vt:lpstr>
      <vt:lpstr>lqlp</vt:lpstr>
      <vt:lpstr>lqml</vt:lpstr>
      <vt:lpstr>lqqm</vt:lpstr>
      <vt:lpstr>lqqq</vt:lpstr>
      <vt:lpstr>lqwt</vt:lpstr>
      <vt:lpstr>lrjv</vt:lpstr>
      <vt:lpstr>lrjz</vt:lpstr>
      <vt:lpstr>lrnh</vt:lpstr>
      <vt:lpstr>lrpc</vt:lpstr>
      <vt:lpstr>lrsm</vt:lpstr>
      <vt:lpstr>lrvl</vt:lpstr>
      <vt:lpstr>lsbq</vt:lpstr>
      <vt:lpstr>lscw</vt:lpstr>
      <vt:lpstr>lsdf</vt:lpstr>
      <vt:lpstr>lsfg</vt:lpstr>
      <vt:lpstr>lsmc</vt:lpstr>
      <vt:lpstr>lsnc</vt:lpstr>
      <vt:lpstr>lsrv</vt:lpstr>
      <vt:lpstr>lsth</vt:lpstr>
      <vt:lpstr>lsvd</vt:lpstr>
      <vt:lpstr>lswd</vt:lpstr>
      <vt:lpstr>lszf</vt:lpstr>
      <vt:lpstr>ltcn</vt:lpstr>
      <vt:lpstr>lthz</vt:lpstr>
      <vt:lpstr>ltnc</vt:lpstr>
      <vt:lpstr>ltng</vt:lpstr>
      <vt:lpstr>ltrm</vt:lpstr>
      <vt:lpstr>ltsr</vt:lpstr>
      <vt:lpstr>lttd</vt:lpstr>
      <vt:lpstr>lvcn</vt:lpstr>
      <vt:lpstr>lvdf</vt:lpstr>
      <vt:lpstr>lvlg</vt:lpstr>
      <vt:lpstr>lvnq</vt:lpstr>
      <vt:lpstr>lvpl</vt:lpstr>
      <vt:lpstr>lvqb</vt:lpstr>
      <vt:lpstr>lvtd</vt:lpstr>
      <vt:lpstr>lwcm</vt:lpstr>
      <vt:lpstr>lwdc</vt:lpstr>
      <vt:lpstr>lwgd</vt:lpstr>
      <vt:lpstr>lwpm</vt:lpstr>
      <vt:lpstr>lzdp</vt:lpstr>
      <vt:lpstr>lzfd</vt:lpstr>
      <vt:lpstr>lzlf</vt:lpstr>
      <vt:lpstr>lzlp</vt:lpstr>
      <vt:lpstr>lzqm</vt:lpstr>
      <vt:lpstr>lzqv</vt:lpstr>
      <vt:lpstr>lzvn</vt:lpstr>
      <vt:lpstr>lzwp</vt:lpstr>
      <vt:lpstr>lzwz</vt:lpstr>
      <vt:lpstr>lzzq</vt:lpstr>
      <vt:lpstr>mbbj</vt:lpstr>
      <vt:lpstr>mbgw</vt:lpstr>
      <vt:lpstr>mbnh</vt:lpstr>
      <vt:lpstr>mbps</vt:lpstr>
      <vt:lpstr>mbqg</vt:lpstr>
      <vt:lpstr>mbrr</vt:lpstr>
      <vt:lpstr>mbtc</vt:lpstr>
      <vt:lpstr>mbtj</vt:lpstr>
      <vt:lpstr>mbvj</vt:lpstr>
      <vt:lpstr>mbwc</vt:lpstr>
      <vt:lpstr>mcbj</vt:lpstr>
      <vt:lpstr>mccr</vt:lpstr>
      <vt:lpstr>mchl</vt:lpstr>
      <vt:lpstr>mchq</vt:lpstr>
      <vt:lpstr>mchz</vt:lpstr>
      <vt:lpstr>mcmn</vt:lpstr>
      <vt:lpstr>mcnj</vt:lpstr>
      <vt:lpstr>mcnt</vt:lpstr>
      <vt:lpstr>mcqn</vt:lpstr>
      <vt:lpstr>mcsm</vt:lpstr>
      <vt:lpstr>mcvf</vt:lpstr>
      <vt:lpstr>mdcb</vt:lpstr>
      <vt:lpstr>mdcf</vt:lpstr>
      <vt:lpstr>mdfl</vt:lpstr>
      <vt:lpstr>mdgl</vt:lpstr>
      <vt:lpstr>mdgm</vt:lpstr>
      <vt:lpstr>mdlm</vt:lpstr>
      <vt:lpstr>mdlr</vt:lpstr>
      <vt:lpstr>mdqc</vt:lpstr>
      <vt:lpstr>mdqs</vt:lpstr>
      <vt:lpstr>mdrc</vt:lpstr>
      <vt:lpstr>mdrn</vt:lpstr>
      <vt:lpstr>mdwn</vt:lpstr>
      <vt:lpstr>mfdb</vt:lpstr>
      <vt:lpstr>mfdj</vt:lpstr>
      <vt:lpstr>mfdn</vt:lpstr>
      <vt:lpstr>mffn</vt:lpstr>
      <vt:lpstr>mfgw</vt:lpstr>
      <vt:lpstr>mfjv</vt:lpstr>
      <vt:lpstr>mflt</vt:lpstr>
      <vt:lpstr>mfqc</vt:lpstr>
      <vt:lpstr>mfrr</vt:lpstr>
      <vt:lpstr>mftn</vt:lpstr>
      <vt:lpstr>mftz</vt:lpstr>
      <vt:lpstr>mfzn</vt:lpstr>
      <vt:lpstr>mglh</vt:lpstr>
      <vt:lpstr>mgsz</vt:lpstr>
      <vt:lpstr>mgws</vt:lpstr>
      <vt:lpstr>mgzc</vt:lpstr>
      <vt:lpstr>mgzs</vt:lpstr>
      <vt:lpstr>mhch</vt:lpstr>
      <vt:lpstr>mhfc</vt:lpstr>
      <vt:lpstr>mhgb</vt:lpstr>
      <vt:lpstr>mhgd</vt:lpstr>
      <vt:lpstr>mhhf</vt:lpstr>
      <vt:lpstr>mhhm</vt:lpstr>
      <vt:lpstr>mhmt</vt:lpstr>
      <vt:lpstr>mhmw</vt:lpstr>
      <vt:lpstr>mhnb</vt:lpstr>
      <vt:lpstr>mhtm</vt:lpstr>
      <vt:lpstr>mhzj</vt:lpstr>
      <vt:lpstr>mjgz</vt:lpstr>
      <vt:lpstr>mjmv</vt:lpstr>
      <vt:lpstr>mjnm</vt:lpstr>
      <vt:lpstr>mjqq</vt:lpstr>
      <vt:lpstr>mjrf</vt:lpstr>
      <vt:lpstr>mjzn</vt:lpstr>
      <vt:lpstr>mlcw</vt:lpstr>
      <vt:lpstr>mlhf</vt:lpstr>
      <vt:lpstr>mlhs</vt:lpstr>
      <vt:lpstr>mljz</vt:lpstr>
      <vt:lpstr>mlrb</vt:lpstr>
      <vt:lpstr>mltz</vt:lpstr>
      <vt:lpstr>mmcc</vt:lpstr>
      <vt:lpstr>mmcp</vt:lpstr>
      <vt:lpstr>mmdc</vt:lpstr>
      <vt:lpstr>mmhg</vt:lpstr>
      <vt:lpstr>mmlh</vt:lpstr>
      <vt:lpstr>mmlw</vt:lpstr>
      <vt:lpstr>mmmf</vt:lpstr>
      <vt:lpstr>mmqs</vt:lpstr>
      <vt:lpstr>mmsr</vt:lpstr>
      <vt:lpstr>mnjr</vt:lpstr>
      <vt:lpstr>mnqc</vt:lpstr>
      <vt:lpstr>mnqf</vt:lpstr>
      <vt:lpstr>mnrh</vt:lpstr>
      <vt:lpstr>mnrl</vt:lpstr>
      <vt:lpstr>mnrs</vt:lpstr>
      <vt:lpstr>mnzh</vt:lpstr>
      <vt:lpstr>mpbg</vt:lpstr>
      <vt:lpstr>mpbr</vt:lpstr>
      <vt:lpstr>mpch</vt:lpstr>
      <vt:lpstr>mpfd</vt:lpstr>
      <vt:lpstr>mpjs</vt:lpstr>
      <vt:lpstr>mpqs</vt:lpstr>
      <vt:lpstr>mqbd</vt:lpstr>
      <vt:lpstr>mqbf</vt:lpstr>
      <vt:lpstr>mqcr</vt:lpstr>
      <vt:lpstr>mqhl</vt:lpstr>
      <vt:lpstr>mqlc</vt:lpstr>
      <vt:lpstr>mqnf</vt:lpstr>
      <vt:lpstr>mqqh</vt:lpstr>
      <vt:lpstr>mqqs</vt:lpstr>
      <vt:lpstr>mqqt</vt:lpstr>
      <vt:lpstr>mqrc</vt:lpstr>
      <vt:lpstr>mqrv</vt:lpstr>
      <vt:lpstr>mqsc</vt:lpstr>
      <vt:lpstr>mqst</vt:lpstr>
      <vt:lpstr>mqvq</vt:lpstr>
      <vt:lpstr>mqzg</vt:lpstr>
      <vt:lpstr>mqzv</vt:lpstr>
      <vt:lpstr>mrbb</vt:lpstr>
      <vt:lpstr>mrcm</vt:lpstr>
      <vt:lpstr>mrfv</vt:lpstr>
      <vt:lpstr>mrgb</vt:lpstr>
      <vt:lpstr>mrmz</vt:lpstr>
      <vt:lpstr>mrrb</vt:lpstr>
      <vt:lpstr>mrst</vt:lpstr>
      <vt:lpstr>mrwj</vt:lpstr>
      <vt:lpstr>msbj</vt:lpstr>
      <vt:lpstr>msht</vt:lpstr>
      <vt:lpstr>mslc</vt:lpstr>
      <vt:lpstr>mslt</vt:lpstr>
      <vt:lpstr>msnd</vt:lpstr>
      <vt:lpstr>mspz</vt:lpstr>
      <vt:lpstr>mssp</vt:lpstr>
      <vt:lpstr>mstb</vt:lpstr>
      <vt:lpstr>mstr</vt:lpstr>
      <vt:lpstr>msvl</vt:lpstr>
      <vt:lpstr>mtmh</vt:lpstr>
      <vt:lpstr>mtmt</vt:lpstr>
      <vt:lpstr>mtns</vt:lpstr>
      <vt:lpstr>mtpt</vt:lpstr>
      <vt:lpstr>mtzs</vt:lpstr>
      <vt:lpstr>mvbv</vt:lpstr>
      <vt:lpstr>mvdw</vt:lpstr>
      <vt:lpstr>mvrp</vt:lpstr>
      <vt:lpstr>mvsd</vt:lpstr>
      <vt:lpstr>mvvt</vt:lpstr>
      <vt:lpstr>mwgw</vt:lpstr>
      <vt:lpstr>mwpn</vt:lpstr>
      <vt:lpstr>mwvg</vt:lpstr>
      <vt:lpstr>mwwf</vt:lpstr>
      <vt:lpstr>mzbv</vt:lpstr>
      <vt:lpstr>mzcr</vt:lpstr>
      <vt:lpstr>mzfw</vt:lpstr>
      <vt:lpstr>mzgg</vt:lpstr>
      <vt:lpstr>mzmr</vt:lpstr>
      <vt:lpstr>mzpv</vt:lpstr>
      <vt:lpstr>mzpw</vt:lpstr>
      <vt:lpstr>mzrj</vt:lpstr>
      <vt:lpstr>mzsc</vt:lpstr>
      <vt:lpstr>mzwg</vt:lpstr>
      <vt:lpstr>mzzl</vt:lpstr>
      <vt:lpstr>nbcp</vt:lpstr>
      <vt:lpstr>nbft</vt:lpstr>
      <vt:lpstr>nbjt</vt:lpstr>
      <vt:lpstr>nbmh</vt:lpstr>
      <vt:lpstr>nbmz</vt:lpstr>
      <vt:lpstr>nbwg</vt:lpstr>
      <vt:lpstr>ncdw</vt:lpstr>
      <vt:lpstr>ncfz</vt:lpstr>
      <vt:lpstr>ncgq</vt:lpstr>
      <vt:lpstr>nchs</vt:lpstr>
      <vt:lpstr>ncnp</vt:lpstr>
      <vt:lpstr>ncrb</vt:lpstr>
      <vt:lpstr>nctf</vt:lpstr>
      <vt:lpstr>nctq</vt:lpstr>
      <vt:lpstr>ndbs</vt:lpstr>
      <vt:lpstr>nddv</vt:lpstr>
      <vt:lpstr>ndfj</vt:lpstr>
      <vt:lpstr>ndgq</vt:lpstr>
      <vt:lpstr>ndhv</vt:lpstr>
      <vt:lpstr>ndlq</vt:lpstr>
      <vt:lpstr>ndrd</vt:lpstr>
      <vt:lpstr>ndzf</vt:lpstr>
      <vt:lpstr>ndzz</vt:lpstr>
      <vt:lpstr>nfcq</vt:lpstr>
      <vt:lpstr>nfgw</vt:lpstr>
      <vt:lpstr>nfjp</vt:lpstr>
      <vt:lpstr>nflt</vt:lpstr>
      <vt:lpstr>nfnw</vt:lpstr>
      <vt:lpstr>nfzd</vt:lpstr>
      <vt:lpstr>nfzh</vt:lpstr>
      <vt:lpstr>ngfn</vt:lpstr>
      <vt:lpstr>nghl</vt:lpstr>
      <vt:lpstr>nhfg</vt:lpstr>
      <vt:lpstr>nhfm</vt:lpstr>
      <vt:lpstr>nhgb</vt:lpstr>
      <vt:lpstr>nhpc</vt:lpstr>
      <vt:lpstr>nhtd</vt:lpstr>
      <vt:lpstr>nhzt</vt:lpstr>
      <vt:lpstr>njbl</vt:lpstr>
      <vt:lpstr>njbp</vt:lpstr>
      <vt:lpstr>njbt</vt:lpstr>
      <vt:lpstr>njpf</vt:lpstr>
      <vt:lpstr>njrg</vt:lpstr>
      <vt:lpstr>njtt</vt:lpstr>
      <vt:lpstr>nlfv</vt:lpstr>
      <vt:lpstr>nlrq</vt:lpstr>
      <vt:lpstr>nltt</vt:lpstr>
      <vt:lpstr>nltz</vt:lpstr>
      <vt:lpstr>nlwj</vt:lpstr>
      <vt:lpstr>nlzv</vt:lpstr>
      <vt:lpstr>nmdm</vt:lpstr>
      <vt:lpstr>nmgl</vt:lpstr>
      <vt:lpstr>nmjh</vt:lpstr>
      <vt:lpstr>nmjj</vt:lpstr>
      <vt:lpstr>nmjq</vt:lpstr>
      <vt:lpstr>nmmz</vt:lpstr>
      <vt:lpstr>nmpt</vt:lpstr>
      <vt:lpstr>nmpz</vt:lpstr>
      <vt:lpstr>nmzl</vt:lpstr>
      <vt:lpstr>nmzt</vt:lpstr>
      <vt:lpstr>nncr</vt:lpstr>
      <vt:lpstr>nnfl</vt:lpstr>
      <vt:lpstr>nnhf</vt:lpstr>
      <vt:lpstr>nnmr</vt:lpstr>
      <vt:lpstr>nnnd</vt:lpstr>
      <vt:lpstr>nnnz</vt:lpstr>
      <vt:lpstr>nnqd</vt:lpstr>
      <vt:lpstr>nntm</vt:lpstr>
      <vt:lpstr>nnvt</vt:lpstr>
      <vt:lpstr>npbq</vt:lpstr>
      <vt:lpstr>npcm</vt:lpstr>
      <vt:lpstr>npct</vt:lpstr>
      <vt:lpstr>npff</vt:lpstr>
      <vt:lpstr>npgd</vt:lpstr>
      <vt:lpstr>nplj</vt:lpstr>
      <vt:lpstr>nplz</vt:lpstr>
      <vt:lpstr>npmd</vt:lpstr>
      <vt:lpstr>npnv</vt:lpstr>
      <vt:lpstr>npqh</vt:lpstr>
      <vt:lpstr>npqm</vt:lpstr>
      <vt:lpstr>nptq</vt:lpstr>
      <vt:lpstr>npvb</vt:lpstr>
      <vt:lpstr>npwc</vt:lpstr>
      <vt:lpstr>npzq</vt:lpstr>
      <vt:lpstr>nqbp</vt:lpstr>
      <vt:lpstr>nqcw</vt:lpstr>
      <vt:lpstr>nqhd</vt:lpstr>
      <vt:lpstr>nqjg</vt:lpstr>
      <vt:lpstr>nqmh</vt:lpstr>
      <vt:lpstr>nqsh</vt:lpstr>
      <vt:lpstr>nqvl</vt:lpstr>
      <vt:lpstr>nqvv</vt:lpstr>
      <vt:lpstr>nqwl</vt:lpstr>
      <vt:lpstr>nrcs</vt:lpstr>
      <vt:lpstr>nrdc</vt:lpstr>
      <vt:lpstr>nrdn</vt:lpstr>
      <vt:lpstr>nrdv</vt:lpstr>
      <vt:lpstr>nrjd</vt:lpstr>
      <vt:lpstr>nrjf</vt:lpstr>
      <vt:lpstr>nrnq</vt:lpstr>
      <vt:lpstr>nrpj</vt:lpstr>
      <vt:lpstr>nrrh</vt:lpstr>
      <vt:lpstr>nrrs</vt:lpstr>
      <vt:lpstr>nrsw</vt:lpstr>
      <vt:lpstr>nrzv</vt:lpstr>
      <vt:lpstr>nsbq</vt:lpstr>
      <vt:lpstr>nsbz</vt:lpstr>
      <vt:lpstr>nscs</vt:lpstr>
      <vt:lpstr>nsfh</vt:lpstr>
      <vt:lpstr>nshb</vt:lpstr>
      <vt:lpstr>nsjg</vt:lpstr>
      <vt:lpstr>nsjn</vt:lpstr>
      <vt:lpstr>nsmv</vt:lpstr>
      <vt:lpstr>nsqn</vt:lpstr>
      <vt:lpstr>nsrr</vt:lpstr>
      <vt:lpstr>nsvp</vt:lpstr>
      <vt:lpstr>nszr</vt:lpstr>
      <vt:lpstr>ntcs</vt:lpstr>
      <vt:lpstr>ntfg</vt:lpstr>
      <vt:lpstr>ntfw</vt:lpstr>
      <vt:lpstr>ntlg</vt:lpstr>
      <vt:lpstr>ntnd</vt:lpstr>
      <vt:lpstr>ntqj</vt:lpstr>
      <vt:lpstr>ntqn</vt:lpstr>
      <vt:lpstr>ntrd</vt:lpstr>
      <vt:lpstr>nttm</vt:lpstr>
      <vt:lpstr>ntzv</vt:lpstr>
      <vt:lpstr>nvbg</vt:lpstr>
      <vt:lpstr>nvdq</vt:lpstr>
      <vt:lpstr>nvff</vt:lpstr>
      <vt:lpstr>nvjn</vt:lpstr>
      <vt:lpstr>nvmp</vt:lpstr>
      <vt:lpstr>nvmr</vt:lpstr>
      <vt:lpstr>nvns</vt:lpstr>
      <vt:lpstr>nwbb</vt:lpstr>
      <vt:lpstr>nwcr</vt:lpstr>
      <vt:lpstr>nwcz</vt:lpstr>
      <vt:lpstr>nwdj</vt:lpstr>
      <vt:lpstr>nwdn</vt:lpstr>
      <vt:lpstr>nwfv</vt:lpstr>
      <vt:lpstr>nwgd</vt:lpstr>
      <vt:lpstr>nwmh</vt:lpstr>
      <vt:lpstr>nwqb</vt:lpstr>
      <vt:lpstr>nwqh</vt:lpstr>
      <vt:lpstr>nwqn</vt:lpstr>
      <vt:lpstr>nwrh</vt:lpstr>
      <vt:lpstr>nwrq</vt:lpstr>
      <vt:lpstr>nwvt</vt:lpstr>
      <vt:lpstr>nwzj</vt:lpstr>
      <vt:lpstr>nzbh</vt:lpstr>
      <vt:lpstr>nzdm</vt:lpstr>
      <vt:lpstr>nzhv</vt:lpstr>
      <vt:lpstr>nzjh</vt:lpstr>
      <vt:lpstr>nztn</vt:lpstr>
      <vt:lpstr>nzvf</vt:lpstr>
      <vt:lpstr>pbdh</vt:lpstr>
      <vt:lpstr>pbfd</vt:lpstr>
      <vt:lpstr>pblw</vt:lpstr>
      <vt:lpstr>pbmt</vt:lpstr>
      <vt:lpstr>pbps</vt:lpstr>
      <vt:lpstr>pbrd</vt:lpstr>
      <vt:lpstr>pbzw</vt:lpstr>
      <vt:lpstr>pcbt</vt:lpstr>
      <vt:lpstr>pccf</vt:lpstr>
      <vt:lpstr>pcch</vt:lpstr>
      <vt:lpstr>pccp</vt:lpstr>
      <vt:lpstr>pcgj</vt:lpstr>
      <vt:lpstr>pcmd</vt:lpstr>
      <vt:lpstr>pcms</vt:lpstr>
      <vt:lpstr>pcpr</vt:lpstr>
      <vt:lpstr>pctv</vt:lpstr>
      <vt:lpstr>pcvp</vt:lpstr>
      <vt:lpstr>pczj</vt:lpstr>
      <vt:lpstr>pdbf</vt:lpstr>
      <vt:lpstr>pdbl</vt:lpstr>
      <vt:lpstr>pdcc</vt:lpstr>
      <vt:lpstr>pdfq</vt:lpstr>
      <vt:lpstr>pdhl</vt:lpstr>
      <vt:lpstr>pdhv</vt:lpstr>
      <vt:lpstr>pdmm</vt:lpstr>
      <vt:lpstr>pdpj</vt:lpstr>
      <vt:lpstr>pdvp</vt:lpstr>
      <vt:lpstr>pfbd</vt:lpstr>
      <vt:lpstr>pfph</vt:lpstr>
      <vt:lpstr>pfqq</vt:lpstr>
      <vt:lpstr>pfrc</vt:lpstr>
      <vt:lpstr>pfsv</vt:lpstr>
      <vt:lpstr>pftj</vt:lpstr>
      <vt:lpstr>pfwg</vt:lpstr>
      <vt:lpstr>pfzs</vt:lpstr>
      <vt:lpstr>pgdm</vt:lpstr>
      <vt:lpstr>pggp</vt:lpstr>
      <vt:lpstr>pgjt</vt:lpstr>
      <vt:lpstr>pgnd</vt:lpstr>
      <vt:lpstr>pgnh</vt:lpstr>
      <vt:lpstr>pgpg</vt:lpstr>
      <vt:lpstr>pgph</vt:lpstr>
      <vt:lpstr>pgts</vt:lpstr>
      <vt:lpstr>pgzn</vt:lpstr>
      <vt:lpstr>phdl</vt:lpstr>
      <vt:lpstr>phjq</vt:lpstr>
      <vt:lpstr>phmr</vt:lpstr>
      <vt:lpstr>phps</vt:lpstr>
      <vt:lpstr>phpv</vt:lpstr>
      <vt:lpstr>phvl</vt:lpstr>
      <vt:lpstr>pjbz</vt:lpstr>
      <vt:lpstr>pjdp</vt:lpstr>
      <vt:lpstr>pjhq</vt:lpstr>
      <vt:lpstr>pjjv</vt:lpstr>
      <vt:lpstr>pjlg</vt:lpstr>
      <vt:lpstr>pjpg</vt:lpstr>
      <vt:lpstr>pjpp</vt:lpstr>
      <vt:lpstr>pjsw</vt:lpstr>
      <vt:lpstr>plgc</vt:lpstr>
      <vt:lpstr>plgj</vt:lpstr>
      <vt:lpstr>pljj</vt:lpstr>
      <vt:lpstr>plms</vt:lpstr>
      <vt:lpstr>plnq</vt:lpstr>
      <vt:lpstr>pmdd</vt:lpstr>
      <vt:lpstr>pmgn</vt:lpstr>
      <vt:lpstr>pmlq</vt:lpstr>
      <vt:lpstr>pnbb</vt:lpstr>
      <vt:lpstr>pndw</vt:lpstr>
      <vt:lpstr>pngf</vt:lpstr>
      <vt:lpstr>pngh</vt:lpstr>
      <vt:lpstr>pnhw</vt:lpstr>
      <vt:lpstr>pnjv</vt:lpstr>
      <vt:lpstr>pnrd</vt:lpstr>
      <vt:lpstr>pnvf</vt:lpstr>
      <vt:lpstr>pnvs</vt:lpstr>
      <vt:lpstr>pnwh</vt:lpstr>
      <vt:lpstr>pphc</vt:lpstr>
      <vt:lpstr>ppld</vt:lpstr>
      <vt:lpstr>pplm</vt:lpstr>
      <vt:lpstr>pplv</vt:lpstr>
      <vt:lpstr>pppw</vt:lpstr>
      <vt:lpstr>ppvm</vt:lpstr>
      <vt:lpstr>ppwg</vt:lpstr>
      <vt:lpstr>ppwp</vt:lpstr>
      <vt:lpstr>ppzf</vt:lpstr>
      <vt:lpstr>pqcp</vt:lpstr>
      <vt:lpstr>pqdz</vt:lpstr>
      <vt:lpstr>pqfd</vt:lpstr>
      <vt:lpstr>pqhs</vt:lpstr>
      <vt:lpstr>pqmw</vt:lpstr>
      <vt:lpstr>pqrq</vt:lpstr>
      <vt:lpstr>pqtl</vt:lpstr>
      <vt:lpstr>prbs</vt:lpstr>
      <vt:lpstr>prcs</vt:lpstr>
      <vt:lpstr>prdc</vt:lpstr>
      <vt:lpstr>prgp</vt:lpstr>
      <vt:lpstr>prhh</vt:lpstr>
      <vt:lpstr>prjp</vt:lpstr>
      <vt:lpstr>prml</vt:lpstr>
      <vt:lpstr>prmp</vt:lpstr>
      <vt:lpstr>prms</vt:lpstr>
      <vt:lpstr>prpz</vt:lpstr>
      <vt:lpstr>prqv</vt:lpstr>
      <vt:lpstr>prsn</vt:lpstr>
      <vt:lpstr>prsr</vt:lpstr>
      <vt:lpstr>prvz</vt:lpstr>
      <vt:lpstr>prwg</vt:lpstr>
      <vt:lpstr>przd</vt:lpstr>
      <vt:lpstr>przn</vt:lpstr>
      <vt:lpstr>pscr</vt:lpstr>
      <vt:lpstr>psdb</vt:lpstr>
      <vt:lpstr>psdm</vt:lpstr>
      <vt:lpstr>psfm</vt:lpstr>
      <vt:lpstr>psfs</vt:lpstr>
      <vt:lpstr>psmc</vt:lpstr>
      <vt:lpstr>pspv</vt:lpstr>
      <vt:lpstr>psrr</vt:lpstr>
      <vt:lpstr>psvd</vt:lpstr>
      <vt:lpstr>psww</vt:lpstr>
      <vt:lpstr>ptbt</vt:lpstr>
      <vt:lpstr>ptcg</vt:lpstr>
      <vt:lpstr>ptdq</vt:lpstr>
      <vt:lpstr>ptff</vt:lpstr>
      <vt:lpstr>ptgb</vt:lpstr>
      <vt:lpstr>pthm</vt:lpstr>
      <vt:lpstr>ptjc</vt:lpstr>
      <vt:lpstr>ptjj</vt:lpstr>
      <vt:lpstr>ptpf</vt:lpstr>
      <vt:lpstr>ptsl</vt:lpstr>
      <vt:lpstr>pvch</vt:lpstr>
      <vt:lpstr>pvdl</vt:lpstr>
      <vt:lpstr>pvgh</vt:lpstr>
      <vt:lpstr>pvlz</vt:lpstr>
      <vt:lpstr>pvnt</vt:lpstr>
      <vt:lpstr>pvpg</vt:lpstr>
      <vt:lpstr>pvpm</vt:lpstr>
      <vt:lpstr>pvqn</vt:lpstr>
      <vt:lpstr>pvqq</vt:lpstr>
      <vt:lpstr>pvsc</vt:lpstr>
      <vt:lpstr>pvzz</vt:lpstr>
      <vt:lpstr>pwdf</vt:lpstr>
      <vt:lpstr>pwdp</vt:lpstr>
      <vt:lpstr>pwdz</vt:lpstr>
      <vt:lpstr>pwfn</vt:lpstr>
      <vt:lpstr>pwld</vt:lpstr>
      <vt:lpstr>pwmf</vt:lpstr>
      <vt:lpstr>pwpp</vt:lpstr>
      <vt:lpstr>pwrg</vt:lpstr>
      <vt:lpstr>pwsg</vt:lpstr>
      <vt:lpstr>pwtz</vt:lpstr>
      <vt:lpstr>pzbr</vt:lpstr>
      <vt:lpstr>pzfd</vt:lpstr>
      <vt:lpstr>pzgm</vt:lpstr>
      <vt:lpstr>pzlb</vt:lpstr>
      <vt:lpstr>pzmr</vt:lpstr>
      <vt:lpstr>pztq</vt:lpstr>
      <vt:lpstr>pzwn</vt:lpstr>
      <vt:lpstr>qbbv</vt:lpstr>
      <vt:lpstr>qbbz</vt:lpstr>
      <vt:lpstr>qbgz</vt:lpstr>
      <vt:lpstr>qbhg</vt:lpstr>
      <vt:lpstr>qbjg</vt:lpstr>
      <vt:lpstr>qbnw</vt:lpstr>
      <vt:lpstr>qbrz</vt:lpstr>
      <vt:lpstr>qccb</vt:lpstr>
      <vt:lpstr>qcct</vt:lpstr>
      <vt:lpstr>qcfr</vt:lpstr>
      <vt:lpstr>qcjd</vt:lpstr>
      <vt:lpstr>qcjg</vt:lpstr>
      <vt:lpstr>qcsg</vt:lpstr>
      <vt:lpstr>qcst</vt:lpstr>
      <vt:lpstr>qcwr</vt:lpstr>
      <vt:lpstr>qdbz</vt:lpstr>
      <vt:lpstr>qdcn</vt:lpstr>
      <vt:lpstr>qdgc</vt:lpstr>
      <vt:lpstr>qdhs</vt:lpstr>
      <vt:lpstr>qdjt</vt:lpstr>
      <vt:lpstr>qdlj</vt:lpstr>
      <vt:lpstr>qdrm</vt:lpstr>
      <vt:lpstr>qdtj</vt:lpstr>
      <vt:lpstr>qdtr</vt:lpstr>
      <vt:lpstr>qdzq</vt:lpstr>
      <vt:lpstr>qffn</vt:lpstr>
      <vt:lpstr>qfsg</vt:lpstr>
      <vt:lpstr>qfsr</vt:lpstr>
      <vt:lpstr>qgbl</vt:lpstr>
      <vt:lpstr>qgbp</vt:lpstr>
      <vt:lpstr>qgdc</vt:lpstr>
      <vt:lpstr>qgfd</vt:lpstr>
      <vt:lpstr>qgfq</vt:lpstr>
      <vt:lpstr>qghq</vt:lpstr>
      <vt:lpstr>qgld</vt:lpstr>
      <vt:lpstr>qglr</vt:lpstr>
      <vt:lpstr>qgmp</vt:lpstr>
      <vt:lpstr>qgnj</vt:lpstr>
      <vt:lpstr>qgrd</vt:lpstr>
      <vt:lpstr>qgrs</vt:lpstr>
      <vt:lpstr>qgtn</vt:lpstr>
      <vt:lpstr>qgzb</vt:lpstr>
      <vt:lpstr>qhjq</vt:lpstr>
      <vt:lpstr>qhlm</vt:lpstr>
      <vt:lpstr>qhnd</vt:lpstr>
      <vt:lpstr>qhpv</vt:lpstr>
      <vt:lpstr>qhvb</vt:lpstr>
      <vt:lpstr>qhvt</vt:lpstr>
      <vt:lpstr>qhwt</vt:lpstr>
      <vt:lpstr>qjcz</vt:lpstr>
      <vt:lpstr>qjft</vt:lpstr>
      <vt:lpstr>qjjt</vt:lpstr>
      <vt:lpstr>qjjz</vt:lpstr>
      <vt:lpstr>qjlm</vt:lpstr>
      <vt:lpstr>qjsz</vt:lpstr>
      <vt:lpstr>qjtc</vt:lpstr>
      <vt:lpstr>qlbs</vt:lpstr>
      <vt:lpstr>qlbt</vt:lpstr>
      <vt:lpstr>qlcr</vt:lpstr>
      <vt:lpstr>qlfn</vt:lpstr>
      <vt:lpstr>qlhv</vt:lpstr>
      <vt:lpstr>qlrf</vt:lpstr>
      <vt:lpstr>qlrw</vt:lpstr>
      <vt:lpstr>qlst</vt:lpstr>
      <vt:lpstr>qmcg</vt:lpstr>
      <vt:lpstr>qmdq</vt:lpstr>
      <vt:lpstr>qmdr</vt:lpstr>
      <vt:lpstr>qmfz</vt:lpstr>
      <vt:lpstr>qmhg</vt:lpstr>
      <vt:lpstr>qmjb</vt:lpstr>
      <vt:lpstr>qmjn</vt:lpstr>
      <vt:lpstr>qmrs</vt:lpstr>
      <vt:lpstr>qmvc</vt:lpstr>
      <vt:lpstr>qmvl</vt:lpstr>
      <vt:lpstr>qmvv</vt:lpstr>
      <vt:lpstr>qmwm</vt:lpstr>
      <vt:lpstr>qmzp</vt:lpstr>
      <vt:lpstr>qnfb</vt:lpstr>
      <vt:lpstr>qnnl</vt:lpstr>
      <vt:lpstr>qnpz</vt:lpstr>
      <vt:lpstr>qnqp</vt:lpstr>
      <vt:lpstr>qnww</vt:lpstr>
      <vt:lpstr>qpdn</vt:lpstr>
      <vt:lpstr>qphq</vt:lpstr>
      <vt:lpstr>qppr</vt:lpstr>
      <vt:lpstr>qpqn</vt:lpstr>
      <vt:lpstr>qpqs</vt:lpstr>
      <vt:lpstr>qpth</vt:lpstr>
      <vt:lpstr>qpwh</vt:lpstr>
      <vt:lpstr>qpwv</vt:lpstr>
      <vt:lpstr>qqbd</vt:lpstr>
      <vt:lpstr>qqch</vt:lpstr>
      <vt:lpstr>qqdj</vt:lpstr>
      <vt:lpstr>qqdw</vt:lpstr>
      <vt:lpstr>qqht</vt:lpstr>
      <vt:lpstr>qqjr</vt:lpstr>
      <vt:lpstr>qqlq</vt:lpstr>
      <vt:lpstr>qqlr</vt:lpstr>
      <vt:lpstr>qqnl</vt:lpstr>
      <vt:lpstr>qqqp</vt:lpstr>
      <vt:lpstr>qqtc</vt:lpstr>
      <vt:lpstr>qqwg</vt:lpstr>
      <vt:lpstr>qrcf</vt:lpstr>
      <vt:lpstr>qrdc</vt:lpstr>
      <vt:lpstr>qrgh</vt:lpstr>
      <vt:lpstr>qrgw</vt:lpstr>
      <vt:lpstr>qrhf</vt:lpstr>
      <vt:lpstr>qrhv</vt:lpstr>
      <vt:lpstr>qrrv</vt:lpstr>
      <vt:lpstr>qrvv</vt:lpstr>
      <vt:lpstr>qrwj</vt:lpstr>
      <vt:lpstr>qsfb</vt:lpstr>
      <vt:lpstr>qsfj</vt:lpstr>
      <vt:lpstr>qsgb</vt:lpstr>
      <vt:lpstr>qsgv</vt:lpstr>
      <vt:lpstr>qshd</vt:lpstr>
      <vt:lpstr>qsjc</vt:lpstr>
      <vt:lpstr>qsjh</vt:lpstr>
      <vt:lpstr>qspl</vt:lpstr>
      <vt:lpstr>qsrf</vt:lpstr>
      <vt:lpstr>qsrh</vt:lpstr>
      <vt:lpstr>qstn</vt:lpstr>
      <vt:lpstr>qtrb</vt:lpstr>
      <vt:lpstr>qtwd</vt:lpstr>
      <vt:lpstr>qtwt</vt:lpstr>
      <vt:lpstr>qvbm</vt:lpstr>
      <vt:lpstr>qvgc</vt:lpstr>
      <vt:lpstr>qvmg</vt:lpstr>
      <vt:lpstr>qvph</vt:lpstr>
      <vt:lpstr>qvql</vt:lpstr>
      <vt:lpstr>qvqq</vt:lpstr>
      <vt:lpstr>qvqt</vt:lpstr>
      <vt:lpstr>qvsc</vt:lpstr>
      <vt:lpstr>qvvn</vt:lpstr>
      <vt:lpstr>qvzf</vt:lpstr>
      <vt:lpstr>qwfc</vt:lpstr>
      <vt:lpstr>qwjc</vt:lpstr>
      <vt:lpstr>qwjl</vt:lpstr>
      <vt:lpstr>qwjp</vt:lpstr>
      <vt:lpstr>qwns</vt:lpstr>
      <vt:lpstr>qwpb</vt:lpstr>
      <vt:lpstr>qwpg</vt:lpstr>
      <vt:lpstr>qwqw</vt:lpstr>
      <vt:lpstr>qwvl</vt:lpstr>
      <vt:lpstr>qwwl</vt:lpstr>
      <vt:lpstr>qzcq</vt:lpstr>
      <vt:lpstr>qzdf</vt:lpstr>
      <vt:lpstr>qzgh</vt:lpstr>
      <vt:lpstr>qzgr</vt:lpstr>
      <vt:lpstr>qzmd</vt:lpstr>
      <vt:lpstr>qzmv</vt:lpstr>
      <vt:lpstr>qznj</vt:lpstr>
      <vt:lpstr>qzqz</vt:lpstr>
      <vt:lpstr>qzrj</vt:lpstr>
      <vt:lpstr>rbmm</vt:lpstr>
      <vt:lpstr>rbnd</vt:lpstr>
      <vt:lpstr>rbrw</vt:lpstr>
      <vt:lpstr>rbtt</vt:lpstr>
      <vt:lpstr>rbvm</vt:lpstr>
      <vt:lpstr>rbzj</vt:lpstr>
      <vt:lpstr>rcdh</vt:lpstr>
      <vt:lpstr>rcgh</vt:lpstr>
      <vt:lpstr>rchv</vt:lpstr>
      <vt:lpstr>rcpw</vt:lpstr>
      <vt:lpstr>rcqf</vt:lpstr>
      <vt:lpstr>rcrv</vt:lpstr>
      <vt:lpstr>rczm</vt:lpstr>
      <vt:lpstr>rdcj</vt:lpstr>
      <vt:lpstr>rdgb</vt:lpstr>
      <vt:lpstr>rdjj</vt:lpstr>
      <vt:lpstr>rdmc</vt:lpstr>
      <vt:lpstr>rdmt</vt:lpstr>
      <vt:lpstr>rdnw</vt:lpstr>
      <vt:lpstr>rdpp</vt:lpstr>
      <vt:lpstr>rdpq</vt:lpstr>
      <vt:lpstr>rdqg</vt:lpstr>
      <vt:lpstr>rdqs</vt:lpstr>
      <vt:lpstr>rdrs</vt:lpstr>
      <vt:lpstr>rdsl</vt:lpstr>
      <vt:lpstr>rdzb</vt:lpstr>
      <vt:lpstr>rfbj</vt:lpstr>
      <vt:lpstr>rfcp</vt:lpstr>
      <vt:lpstr>rfcv</vt:lpstr>
      <vt:lpstr>rfcz</vt:lpstr>
      <vt:lpstr>rfdf</vt:lpstr>
      <vt:lpstr>rfmb</vt:lpstr>
      <vt:lpstr>rfmq</vt:lpstr>
      <vt:lpstr>rfmr</vt:lpstr>
      <vt:lpstr>rfrm</vt:lpstr>
      <vt:lpstr>rftp</vt:lpstr>
      <vt:lpstr>rfwn</vt:lpstr>
      <vt:lpstr>rfwp</vt:lpstr>
      <vt:lpstr>rghb</vt:lpstr>
      <vt:lpstr>rght</vt:lpstr>
      <vt:lpstr>rgjt</vt:lpstr>
      <vt:lpstr>rgqh</vt:lpstr>
      <vt:lpstr>rgtd</vt:lpstr>
      <vt:lpstr>rhbs</vt:lpstr>
      <vt:lpstr>rhcs</vt:lpstr>
      <vt:lpstr>rhds</vt:lpstr>
      <vt:lpstr>rhgq</vt:lpstr>
      <vt:lpstr>rhnf</vt:lpstr>
      <vt:lpstr>rhnv</vt:lpstr>
      <vt:lpstr>rhvj</vt:lpstr>
      <vt:lpstr>rhzn</vt:lpstr>
      <vt:lpstr>rjhl</vt:lpstr>
      <vt:lpstr>rjhw</vt:lpstr>
      <vt:lpstr>rjld</vt:lpstr>
      <vt:lpstr>rjwd</vt:lpstr>
      <vt:lpstr>rjwv</vt:lpstr>
      <vt:lpstr>rlds</vt:lpstr>
      <vt:lpstr>rlhc</vt:lpstr>
      <vt:lpstr>rljl</vt:lpstr>
      <vt:lpstr>rljp</vt:lpstr>
      <vt:lpstr>rllb</vt:lpstr>
      <vt:lpstr>rlrv</vt:lpstr>
      <vt:lpstr>rlzn</vt:lpstr>
      <vt:lpstr>rmfd</vt:lpstr>
      <vt:lpstr>rmfr</vt:lpstr>
      <vt:lpstr>rmfw</vt:lpstr>
      <vt:lpstr>rmgn</vt:lpstr>
      <vt:lpstr>rmhj</vt:lpstr>
      <vt:lpstr>rmjw</vt:lpstr>
      <vt:lpstr>rmrr</vt:lpstr>
      <vt:lpstr>rmvz</vt:lpstr>
      <vt:lpstr>rmwz</vt:lpstr>
      <vt:lpstr>rnhr</vt:lpstr>
      <vt:lpstr>rnlj</vt:lpstr>
      <vt:lpstr>rnnm</vt:lpstr>
      <vt:lpstr>rnnq</vt:lpstr>
      <vt:lpstr>rnpf</vt:lpstr>
      <vt:lpstr>rnqh</vt:lpstr>
      <vt:lpstr>rnqw</vt:lpstr>
      <vt:lpstr>rnrz</vt:lpstr>
      <vt:lpstr>rnsd</vt:lpstr>
      <vt:lpstr>root</vt:lpstr>
      <vt:lpstr>rpbl</vt:lpstr>
      <vt:lpstr>rpcb</vt:lpstr>
      <vt:lpstr>rpcj</vt:lpstr>
      <vt:lpstr>rpdf</vt:lpstr>
      <vt:lpstr>rphp</vt:lpstr>
      <vt:lpstr>rpln</vt:lpstr>
      <vt:lpstr>rppz</vt:lpstr>
      <vt:lpstr>rpql</vt:lpstr>
      <vt:lpstr>rprh</vt:lpstr>
      <vt:lpstr>rpsc</vt:lpstr>
      <vt:lpstr>rqgq</vt:lpstr>
      <vt:lpstr>rqmw</vt:lpstr>
      <vt:lpstr>rqzq</vt:lpstr>
      <vt:lpstr>rrdq</vt:lpstr>
      <vt:lpstr>rrsb</vt:lpstr>
      <vt:lpstr>rrtr</vt:lpstr>
      <vt:lpstr>rrvl</vt:lpstr>
      <vt:lpstr>rshj</vt:lpstr>
      <vt:lpstr>rsjw</vt:lpstr>
      <vt:lpstr>rssf</vt:lpstr>
      <vt:lpstr>rswm</vt:lpstr>
      <vt:lpstr>rszd</vt:lpstr>
      <vt:lpstr>rtmt</vt:lpstr>
      <vt:lpstr>rtrc</vt:lpstr>
      <vt:lpstr>rtvg</vt:lpstr>
      <vt:lpstr>rvbn</vt:lpstr>
      <vt:lpstr>rvfp</vt:lpstr>
      <vt:lpstr>rvfr</vt:lpstr>
      <vt:lpstr>rvlm</vt:lpstr>
      <vt:lpstr>rvnc</vt:lpstr>
      <vt:lpstr>rvqw</vt:lpstr>
      <vt:lpstr>rvrp</vt:lpstr>
      <vt:lpstr>rvsv</vt:lpstr>
      <vt:lpstr>rwfc</vt:lpstr>
      <vt:lpstr>rwgf</vt:lpstr>
      <vt:lpstr>rwlb</vt:lpstr>
      <vt:lpstr>rwqb</vt:lpstr>
      <vt:lpstr>rwqr</vt:lpstr>
      <vt:lpstr>rwqw</vt:lpstr>
      <vt:lpstr>rwwc</vt:lpstr>
      <vt:lpstr>rwwf</vt:lpstr>
      <vt:lpstr>rzfd</vt:lpstr>
      <vt:lpstr>rzfz</vt:lpstr>
      <vt:lpstr>rzmd</vt:lpstr>
      <vt:lpstr>rznv</vt:lpstr>
      <vt:lpstr>rzvt</vt:lpstr>
      <vt:lpstr>rzwz</vt:lpstr>
      <vt:lpstr>rzzf</vt:lpstr>
      <vt:lpstr>sbcl</vt:lpstr>
      <vt:lpstr>sbdb</vt:lpstr>
      <vt:lpstr>sbfb</vt:lpstr>
      <vt:lpstr>sbfh</vt:lpstr>
      <vt:lpstr>sbjp</vt:lpstr>
      <vt:lpstr>sbjz</vt:lpstr>
      <vt:lpstr>sblg</vt:lpstr>
      <vt:lpstr>sbll</vt:lpstr>
      <vt:lpstr>sbqt</vt:lpstr>
      <vt:lpstr>sbvg</vt:lpstr>
      <vt:lpstr>sbwb</vt:lpstr>
      <vt:lpstr>scbt</vt:lpstr>
      <vt:lpstr>sctg</vt:lpstr>
      <vt:lpstr>scwd</vt:lpstr>
      <vt:lpstr>sdcr</vt:lpstr>
      <vt:lpstr>sdjd</vt:lpstr>
      <vt:lpstr>sdmp</vt:lpstr>
      <vt:lpstr>sdpr</vt:lpstr>
      <vt:lpstr>sdqd</vt:lpstr>
      <vt:lpstr>sdvv</vt:lpstr>
      <vt:lpstr>sdwr</vt:lpstr>
      <vt:lpstr>sflq</vt:lpstr>
      <vt:lpstr>sfrm</vt:lpstr>
      <vt:lpstr>sfvg</vt:lpstr>
      <vt:lpstr>sfwz</vt:lpstr>
      <vt:lpstr>sgcb</vt:lpstr>
      <vt:lpstr>sgcv</vt:lpstr>
      <vt:lpstr>sgdd</vt:lpstr>
      <vt:lpstr>sglm</vt:lpstr>
      <vt:lpstr>sgns</vt:lpstr>
      <vt:lpstr>sgst</vt:lpstr>
      <vt:lpstr>shcz</vt:lpstr>
      <vt:lpstr>shnm</vt:lpstr>
      <vt:lpstr>shpg</vt:lpstr>
      <vt:lpstr>shvv</vt:lpstr>
      <vt:lpstr>sjcb</vt:lpstr>
      <vt:lpstr>sjch</vt:lpstr>
      <vt:lpstr>sjcj</vt:lpstr>
      <vt:lpstr>sjdl</vt:lpstr>
      <vt:lpstr>sjfb</vt:lpstr>
      <vt:lpstr>sjgh</vt:lpstr>
      <vt:lpstr>sjgn</vt:lpstr>
      <vt:lpstr>sjht</vt:lpstr>
      <vt:lpstr>sjmn</vt:lpstr>
      <vt:lpstr>sjqr</vt:lpstr>
      <vt:lpstr>sjrj</vt:lpstr>
      <vt:lpstr>sjvt</vt:lpstr>
      <vt:lpstr>sjwp</vt:lpstr>
      <vt:lpstr>sjwq</vt:lpstr>
      <vt:lpstr>slcg</vt:lpstr>
      <vt:lpstr>slhd</vt:lpstr>
      <vt:lpstr>slhm</vt:lpstr>
      <vt:lpstr>sljl</vt:lpstr>
      <vt:lpstr>sllz</vt:lpstr>
      <vt:lpstr>slmh</vt:lpstr>
      <vt:lpstr>slmn</vt:lpstr>
      <vt:lpstr>slqs</vt:lpstr>
      <vt:lpstr>smbd</vt:lpstr>
      <vt:lpstr>smbr</vt:lpstr>
      <vt:lpstr>smjj</vt:lpstr>
      <vt:lpstr>smlh</vt:lpstr>
      <vt:lpstr>smnp</vt:lpstr>
      <vt:lpstr>smpc</vt:lpstr>
      <vt:lpstr>smqr</vt:lpstr>
      <vt:lpstr>smvj</vt:lpstr>
      <vt:lpstr>smvw</vt:lpstr>
      <vt:lpstr>snbt</vt:lpstr>
      <vt:lpstr>sndc</vt:lpstr>
      <vt:lpstr>snfh</vt:lpstr>
      <vt:lpstr>snjr</vt:lpstr>
      <vt:lpstr>snlv</vt:lpstr>
      <vt:lpstr>snng</vt:lpstr>
      <vt:lpstr>snsc</vt:lpstr>
      <vt:lpstr>sntt</vt:lpstr>
      <vt:lpstr>snwb</vt:lpstr>
      <vt:lpstr>spbn</vt:lpstr>
      <vt:lpstr>spnp</vt:lpstr>
      <vt:lpstr>sppm</vt:lpstr>
      <vt:lpstr>sqcc</vt:lpstr>
      <vt:lpstr>sqff</vt:lpstr>
      <vt:lpstr>sqjj</vt:lpstr>
      <vt:lpstr>sqjl</vt:lpstr>
      <vt:lpstr>sqnb</vt:lpstr>
      <vt:lpstr>sqpd</vt:lpstr>
      <vt:lpstr>sqrv</vt:lpstr>
      <vt:lpstr>sqsc</vt:lpstr>
      <vt:lpstr>srbj</vt:lpstr>
      <vt:lpstr>srmg</vt:lpstr>
      <vt:lpstr>srnv</vt:lpstr>
      <vt:lpstr>srsl</vt:lpstr>
      <vt:lpstr>srtj</vt:lpstr>
      <vt:lpstr>srvg</vt:lpstr>
      <vt:lpstr>ssbm</vt:lpstr>
      <vt:lpstr>ssbp</vt:lpstr>
      <vt:lpstr>sscm</vt:lpstr>
      <vt:lpstr>ssng</vt:lpstr>
      <vt:lpstr>ssnq</vt:lpstr>
      <vt:lpstr>ssph</vt:lpstr>
      <vt:lpstr>ssqc</vt:lpstr>
      <vt:lpstr>sstq</vt:lpstr>
      <vt:lpstr>ssvr</vt:lpstr>
      <vt:lpstr>sswb</vt:lpstr>
      <vt:lpstr>sszs</vt:lpstr>
      <vt:lpstr>stbv</vt:lpstr>
      <vt:lpstr>stcd</vt:lpstr>
      <vt:lpstr>stcj</vt:lpstr>
      <vt:lpstr>stcw</vt:lpstr>
      <vt:lpstr>stfm</vt:lpstr>
      <vt:lpstr>stfs</vt:lpstr>
      <vt:lpstr>stls</vt:lpstr>
      <vt:lpstr>stnh</vt:lpstr>
      <vt:lpstr>stpv</vt:lpstr>
      <vt:lpstr>stsc</vt:lpstr>
      <vt:lpstr>stvc</vt:lpstr>
      <vt:lpstr>svdd</vt:lpstr>
      <vt:lpstr>svfq</vt:lpstr>
      <vt:lpstr>svln</vt:lpstr>
      <vt:lpstr>svmn</vt:lpstr>
      <vt:lpstr>svng</vt:lpstr>
      <vt:lpstr>svnj</vt:lpstr>
      <vt:lpstr>svpw</vt:lpstr>
      <vt:lpstr>svvl</vt:lpstr>
      <vt:lpstr>svww</vt:lpstr>
      <vt:lpstr>svzj</vt:lpstr>
      <vt:lpstr>swcn</vt:lpstr>
      <vt:lpstr>swcp</vt:lpstr>
      <vt:lpstr>swjc</vt:lpstr>
      <vt:lpstr>swng</vt:lpstr>
      <vt:lpstr>swpr</vt:lpstr>
      <vt:lpstr>swqf</vt:lpstr>
      <vt:lpstr>swth</vt:lpstr>
      <vt:lpstr>swtj</vt:lpstr>
      <vt:lpstr>swzl</vt:lpstr>
      <vt:lpstr>swzm</vt:lpstr>
      <vt:lpstr>szdf</vt:lpstr>
      <vt:lpstr>szgd</vt:lpstr>
      <vt:lpstr>szgs</vt:lpstr>
      <vt:lpstr>szgv</vt:lpstr>
      <vt:lpstr>szll</vt:lpstr>
      <vt:lpstr>szlw</vt:lpstr>
      <vt:lpstr>szsh</vt:lpstr>
      <vt:lpstr>szsj</vt:lpstr>
      <vt:lpstr>sztw</vt:lpstr>
      <vt:lpstr>szvt</vt:lpstr>
      <vt:lpstr>szvz</vt:lpstr>
      <vt:lpstr>szwd</vt:lpstr>
      <vt:lpstr>szwz</vt:lpstr>
      <vt:lpstr>tbdp</vt:lpstr>
      <vt:lpstr>tbhd</vt:lpstr>
      <vt:lpstr>tbhv</vt:lpstr>
      <vt:lpstr>tblp</vt:lpstr>
      <vt:lpstr>tbmd</vt:lpstr>
      <vt:lpstr>tbmr</vt:lpstr>
      <vt:lpstr>tbpn</vt:lpstr>
      <vt:lpstr>tbqg</vt:lpstr>
      <vt:lpstr>tbqm</vt:lpstr>
      <vt:lpstr>tbrs</vt:lpstr>
      <vt:lpstr>tbrw</vt:lpstr>
      <vt:lpstr>tbwd</vt:lpstr>
      <vt:lpstr>tbwj</vt:lpstr>
      <vt:lpstr>tbwn</vt:lpstr>
      <vt:lpstr>tchh</vt:lpstr>
      <vt:lpstr>tchr</vt:lpstr>
      <vt:lpstr>tcpf</vt:lpstr>
      <vt:lpstr>tcqs</vt:lpstr>
      <vt:lpstr>tcrr</vt:lpstr>
      <vt:lpstr>tdbn</vt:lpstr>
      <vt:lpstr>tdcc</vt:lpstr>
      <vt:lpstr>tdgl</vt:lpstr>
      <vt:lpstr>tdhr</vt:lpstr>
      <vt:lpstr>tdlv</vt:lpstr>
      <vt:lpstr>tdnb</vt:lpstr>
      <vt:lpstr>tdpd</vt:lpstr>
      <vt:lpstr>tdqc</vt:lpstr>
      <vt:lpstr>tdqn</vt:lpstr>
      <vt:lpstr>tdvg</vt:lpstr>
      <vt:lpstr>tfcr</vt:lpstr>
      <vt:lpstr>tfdm</vt:lpstr>
      <vt:lpstr>tfdv</vt:lpstr>
      <vt:lpstr>tffd</vt:lpstr>
      <vt:lpstr>tflj</vt:lpstr>
      <vt:lpstr>tflw</vt:lpstr>
      <vt:lpstr>tfml</vt:lpstr>
      <vt:lpstr>tfpc</vt:lpstr>
      <vt:lpstr>tfpm</vt:lpstr>
      <vt:lpstr>tfrq</vt:lpstr>
      <vt:lpstr>tfsd</vt:lpstr>
      <vt:lpstr>tfsn</vt:lpstr>
      <vt:lpstr>tfvn</vt:lpstr>
      <vt:lpstr>tfwm</vt:lpstr>
      <vt:lpstr>tgcc</vt:lpstr>
      <vt:lpstr>tgcd</vt:lpstr>
      <vt:lpstr>tgch</vt:lpstr>
      <vt:lpstr>tgdq</vt:lpstr>
      <vt:lpstr>tgfs</vt:lpstr>
      <vt:lpstr>tgfz</vt:lpstr>
      <vt:lpstr>tgjj</vt:lpstr>
      <vt:lpstr>tgrf</vt:lpstr>
      <vt:lpstr>tgsc</vt:lpstr>
      <vt:lpstr>tgsp</vt:lpstr>
      <vt:lpstr>tgtn</vt:lpstr>
      <vt:lpstr>tgts</vt:lpstr>
      <vt:lpstr>tgvf</vt:lpstr>
      <vt:lpstr>tgvg</vt:lpstr>
      <vt:lpstr>tgwh</vt:lpstr>
      <vt:lpstr>thcj</vt:lpstr>
      <vt:lpstr>thjb</vt:lpstr>
      <vt:lpstr>thjn</vt:lpstr>
      <vt:lpstr>thnb</vt:lpstr>
      <vt:lpstr>thqs</vt:lpstr>
      <vt:lpstr>thrm</vt:lpstr>
      <vt:lpstr>thth</vt:lpstr>
      <vt:lpstr>tjbl</vt:lpstr>
      <vt:lpstr>tjcm</vt:lpstr>
      <vt:lpstr>tjcr</vt:lpstr>
      <vt:lpstr>tjgn</vt:lpstr>
      <vt:lpstr>tjhw</vt:lpstr>
      <vt:lpstr>tjmg</vt:lpstr>
      <vt:lpstr>tjpj</vt:lpstr>
      <vt:lpstr>tjzp</vt:lpstr>
      <vt:lpstr>tlbn</vt:lpstr>
      <vt:lpstr>tldj</vt:lpstr>
      <vt:lpstr>tlfp</vt:lpstr>
      <vt:lpstr>tlgz</vt:lpstr>
      <vt:lpstr>tlnz</vt:lpstr>
      <vt:lpstr>tlqm</vt:lpstr>
      <vt:lpstr>tlsr</vt:lpstr>
      <vt:lpstr>tltn</vt:lpstr>
      <vt:lpstr>tlwm</vt:lpstr>
      <vt:lpstr>tmcp</vt:lpstr>
      <vt:lpstr>tmfb</vt:lpstr>
      <vt:lpstr>tmgq</vt:lpstr>
      <vt:lpstr>tmhf</vt:lpstr>
      <vt:lpstr>tmhj</vt:lpstr>
      <vt:lpstr>tmhr</vt:lpstr>
      <vt:lpstr>tmjs</vt:lpstr>
      <vt:lpstr>tmjv</vt:lpstr>
      <vt:lpstr>tmmf</vt:lpstr>
      <vt:lpstr>tmpv</vt:lpstr>
      <vt:lpstr>tmqj</vt:lpstr>
      <vt:lpstr>tmrv</vt:lpstr>
      <vt:lpstr>tmsh</vt:lpstr>
      <vt:lpstr>tmzd</vt:lpstr>
      <vt:lpstr>tncl</vt:lpstr>
      <vt:lpstr>tndn</vt:lpstr>
      <vt:lpstr>tnhm</vt:lpstr>
      <vt:lpstr>tnmv</vt:lpstr>
      <vt:lpstr>tnmz</vt:lpstr>
      <vt:lpstr>tnqp</vt:lpstr>
      <vt:lpstr>tnrd</vt:lpstr>
      <vt:lpstr>tnvn</vt:lpstr>
      <vt:lpstr>tpbt</vt:lpstr>
      <vt:lpstr>tpbw</vt:lpstr>
      <vt:lpstr>tpgs</vt:lpstr>
      <vt:lpstr>tpgv</vt:lpstr>
      <vt:lpstr>tpmz</vt:lpstr>
      <vt:lpstr>tppz</vt:lpstr>
      <vt:lpstr>tprf</vt:lpstr>
      <vt:lpstr>tptq</vt:lpstr>
      <vt:lpstr>tpwm</vt:lpstr>
      <vt:lpstr>tqdc</vt:lpstr>
      <vt:lpstr>tqft</vt:lpstr>
      <vt:lpstr>tqnb</vt:lpstr>
      <vt:lpstr>tqql</vt:lpstr>
      <vt:lpstr>tqrg</vt:lpstr>
      <vt:lpstr>tqsm</vt:lpstr>
      <vt:lpstr>tqtg</vt:lpstr>
      <vt:lpstr>tqwl</vt:lpstr>
      <vt:lpstr>trbp</vt:lpstr>
      <vt:lpstr>trcd</vt:lpstr>
      <vt:lpstr>trcg</vt:lpstr>
      <vt:lpstr>trfc</vt:lpstr>
      <vt:lpstr>trlw</vt:lpstr>
      <vt:lpstr>trml</vt:lpstr>
      <vt:lpstr>trmz</vt:lpstr>
      <vt:lpstr>trrt</vt:lpstr>
      <vt:lpstr>trzp</vt:lpstr>
      <vt:lpstr>trzt</vt:lpstr>
      <vt:lpstr>tscm</vt:lpstr>
      <vt:lpstr>tsdg</vt:lpstr>
      <vt:lpstr>tsfz</vt:lpstr>
      <vt:lpstr>tsjb</vt:lpstr>
      <vt:lpstr>tsjz</vt:lpstr>
      <vt:lpstr>tslc</vt:lpstr>
      <vt:lpstr>tsmb</vt:lpstr>
      <vt:lpstr>tsnv</vt:lpstr>
      <vt:lpstr>tssr</vt:lpstr>
      <vt:lpstr>tsvp</vt:lpstr>
      <vt:lpstr>tsvq</vt:lpstr>
      <vt:lpstr>tsvz</vt:lpstr>
      <vt:lpstr>tszl</vt:lpstr>
      <vt:lpstr>ttbb</vt:lpstr>
      <vt:lpstr>ttcq</vt:lpstr>
      <vt:lpstr>ttcs</vt:lpstr>
      <vt:lpstr>ttff</vt:lpstr>
      <vt:lpstr>ttlg</vt:lpstr>
      <vt:lpstr>ttrc</vt:lpstr>
      <vt:lpstr>ttsh</vt:lpstr>
      <vt:lpstr>tttq</vt:lpstr>
      <vt:lpstr>ttzn</vt:lpstr>
      <vt:lpstr>tvdc</vt:lpstr>
      <vt:lpstr>tvlz</vt:lpstr>
      <vt:lpstr>tvmj</vt:lpstr>
      <vt:lpstr>tvnp</vt:lpstr>
      <vt:lpstr>tvrh</vt:lpstr>
      <vt:lpstr>tvrj</vt:lpstr>
      <vt:lpstr>twbf</vt:lpstr>
      <vt:lpstr>twcm</vt:lpstr>
      <vt:lpstr>twjf</vt:lpstr>
      <vt:lpstr>twmw</vt:lpstr>
      <vt:lpstr>twnp</vt:lpstr>
      <vt:lpstr>twpb</vt:lpstr>
      <vt:lpstr>twql</vt:lpstr>
      <vt:lpstr>twqw</vt:lpstr>
      <vt:lpstr>twrb</vt:lpstr>
      <vt:lpstr>twsc</vt:lpstr>
      <vt:lpstr>twtg</vt:lpstr>
      <vt:lpstr>twzm</vt:lpstr>
      <vt:lpstr>twzs</vt:lpstr>
      <vt:lpstr>tzcn</vt:lpstr>
      <vt:lpstr>tzdq</vt:lpstr>
      <vt:lpstr>tzft</vt:lpstr>
      <vt:lpstr>tzgl</vt:lpstr>
      <vt:lpstr>tzmm</vt:lpstr>
      <vt:lpstr>tznf</vt:lpstr>
      <vt:lpstr>tzpw</vt:lpstr>
      <vt:lpstr>tzsp</vt:lpstr>
      <vt:lpstr>tztr</vt:lpstr>
      <vt:lpstr>tzwm</vt:lpstr>
      <vt:lpstr>vbbl</vt:lpstr>
      <vt:lpstr>vbbn</vt:lpstr>
      <vt:lpstr>vbdd</vt:lpstr>
      <vt:lpstr>vbht</vt:lpstr>
      <vt:lpstr>vblr</vt:lpstr>
      <vt:lpstr>vbmg</vt:lpstr>
      <vt:lpstr>vbqp</vt:lpstr>
      <vt:lpstr>vbsv</vt:lpstr>
      <vt:lpstr>vbth</vt:lpstr>
      <vt:lpstr>vbvf</vt:lpstr>
      <vt:lpstr>vbwd</vt:lpstr>
      <vt:lpstr>vbwq</vt:lpstr>
      <vt:lpstr>vcbn</vt:lpstr>
      <vt:lpstr>vcfh</vt:lpstr>
      <vt:lpstr>vcgm</vt:lpstr>
      <vt:lpstr>vcst</vt:lpstr>
      <vt:lpstr>vcvh</vt:lpstr>
      <vt:lpstr>vdbq</vt:lpstr>
      <vt:lpstr>vdcd</vt:lpstr>
      <vt:lpstr>vdcv</vt:lpstr>
      <vt:lpstr>vddh</vt:lpstr>
      <vt:lpstr>vdgf</vt:lpstr>
      <vt:lpstr>vdmn</vt:lpstr>
      <vt:lpstr>vdpq</vt:lpstr>
      <vt:lpstr>vdps</vt:lpstr>
      <vt:lpstr>vdtj</vt:lpstr>
      <vt:lpstr>vdwr</vt:lpstr>
      <vt:lpstr>vfbb</vt:lpstr>
      <vt:lpstr>vfmb</vt:lpstr>
      <vt:lpstr>vfmv</vt:lpstr>
      <vt:lpstr>vfrn</vt:lpstr>
      <vt:lpstr>vfrz</vt:lpstr>
      <vt:lpstr>vftj</vt:lpstr>
      <vt:lpstr>vftv</vt:lpstr>
      <vt:lpstr>vfzt</vt:lpstr>
      <vt:lpstr>vgbd</vt:lpstr>
      <vt:lpstr>vggh</vt:lpstr>
      <vt:lpstr>vgqr</vt:lpstr>
      <vt:lpstr>vgsf</vt:lpstr>
      <vt:lpstr>vgzr</vt:lpstr>
      <vt:lpstr>vhbl</vt:lpstr>
      <vt:lpstr>vhdh</vt:lpstr>
      <vt:lpstr>vhfh</vt:lpstr>
      <vt:lpstr>vhgh</vt:lpstr>
      <vt:lpstr>vhjv</vt:lpstr>
      <vt:lpstr>vhns</vt:lpstr>
      <vt:lpstr>vhqf</vt:lpstr>
      <vt:lpstr>vhrc</vt:lpstr>
      <vt:lpstr>vhth</vt:lpstr>
      <vt:lpstr>vjmr</vt:lpstr>
      <vt:lpstr>vjph</vt:lpstr>
      <vt:lpstr>vjqw</vt:lpstr>
      <vt:lpstr>vjrs</vt:lpstr>
      <vt:lpstr>vjss</vt:lpstr>
      <vt:lpstr>vjvc</vt:lpstr>
      <vt:lpstr>vjvn</vt:lpstr>
      <vt:lpstr>vjzr</vt:lpstr>
      <vt:lpstr>vlft</vt:lpstr>
      <vt:lpstr>vlgv</vt:lpstr>
      <vt:lpstr>vljf</vt:lpstr>
      <vt:lpstr>vlqj</vt:lpstr>
      <vt:lpstr>vlzm</vt:lpstr>
      <vt:lpstr>vmhp</vt:lpstr>
      <vt:lpstr>vmhr</vt:lpstr>
      <vt:lpstr>vmjl</vt:lpstr>
      <vt:lpstr>vmmw</vt:lpstr>
      <vt:lpstr>vmqt</vt:lpstr>
      <vt:lpstr>vmtd</vt:lpstr>
      <vt:lpstr>vmwv</vt:lpstr>
      <vt:lpstr>vndh</vt:lpstr>
      <vt:lpstr>vnhj</vt:lpstr>
      <vt:lpstr>vnrr</vt:lpstr>
      <vt:lpstr>vntl</vt:lpstr>
      <vt:lpstr>vntq</vt:lpstr>
      <vt:lpstr>vnvw</vt:lpstr>
      <vt:lpstr>vpcl</vt:lpstr>
      <vt:lpstr>vpcs</vt:lpstr>
      <vt:lpstr>vpdv</vt:lpstr>
      <vt:lpstr>vpjz</vt:lpstr>
      <vt:lpstr>vplb</vt:lpstr>
      <vt:lpstr>vpsr</vt:lpstr>
      <vt:lpstr>vqdb</vt:lpstr>
      <vt:lpstr>vqgm</vt:lpstr>
      <vt:lpstr>vqjt</vt:lpstr>
      <vt:lpstr>vqmc</vt:lpstr>
      <vt:lpstr>vqwv</vt:lpstr>
      <vt:lpstr>vqzw</vt:lpstr>
      <vt:lpstr>vrgz</vt:lpstr>
      <vt:lpstr>vrjq</vt:lpstr>
      <vt:lpstr>vrjr</vt:lpstr>
      <vt:lpstr>vrlf</vt:lpstr>
      <vt:lpstr>vrqb</vt:lpstr>
      <vt:lpstr>vrqj</vt:lpstr>
      <vt:lpstr>vrtr</vt:lpstr>
      <vt:lpstr>vrvr</vt:lpstr>
      <vt:lpstr>vrwm</vt:lpstr>
      <vt:lpstr>vscz</vt:lpstr>
      <vt:lpstr>vshb</vt:lpstr>
      <vt:lpstr>vsqt</vt:lpstr>
      <vt:lpstr>vstr</vt:lpstr>
      <vt:lpstr>vszn</vt:lpstr>
      <vt:lpstr>vtbg</vt:lpstr>
      <vt:lpstr>vtch</vt:lpstr>
      <vt:lpstr>vthq</vt:lpstr>
      <vt:lpstr>vtmm</vt:lpstr>
      <vt:lpstr>vtqd</vt:lpstr>
      <vt:lpstr>vtzc</vt:lpstr>
      <vt:lpstr>vvbq</vt:lpstr>
      <vt:lpstr>vvgt</vt:lpstr>
      <vt:lpstr>vvhd</vt:lpstr>
      <vt:lpstr>vvlm</vt:lpstr>
      <vt:lpstr>vvmd</vt:lpstr>
      <vt:lpstr>vvnh</vt:lpstr>
      <vt:lpstr>vvpb</vt:lpstr>
      <vt:lpstr>vvqq</vt:lpstr>
      <vt:lpstr>vvsm</vt:lpstr>
      <vt:lpstr>vvwr</vt:lpstr>
      <vt:lpstr>vwcc</vt:lpstr>
      <vt:lpstr>vwcj</vt:lpstr>
      <vt:lpstr>vwdg</vt:lpstr>
      <vt:lpstr>vwff</vt:lpstr>
      <vt:lpstr>vwnc</vt:lpstr>
      <vt:lpstr>vwnd</vt:lpstr>
      <vt:lpstr>vwpc</vt:lpstr>
      <vt:lpstr>vwrt</vt:lpstr>
      <vt:lpstr>vwvc</vt:lpstr>
      <vt:lpstr>vzft</vt:lpstr>
      <vt:lpstr>vzgl</vt:lpstr>
      <vt:lpstr>vzhj</vt:lpstr>
      <vt:lpstr>vzhl</vt:lpstr>
      <vt:lpstr>vznw</vt:lpstr>
      <vt:lpstr>vztj</vt:lpstr>
      <vt:lpstr>wbft</vt:lpstr>
      <vt:lpstr>wbqs</vt:lpstr>
      <vt:lpstr>wbrr</vt:lpstr>
      <vt:lpstr>wbwf</vt:lpstr>
      <vt:lpstr>wcbp</vt:lpstr>
      <vt:lpstr>wcbw</vt:lpstr>
      <vt:lpstr>wclb</vt:lpstr>
      <vt:lpstr>wcps</vt:lpstr>
      <vt:lpstr>wcrj</vt:lpstr>
      <vt:lpstr>wdbm</vt:lpstr>
      <vt:lpstr>wdgw</vt:lpstr>
      <vt:lpstr>wdjq</vt:lpstr>
      <vt:lpstr>wdlg</vt:lpstr>
      <vt:lpstr>wdll</vt:lpstr>
      <vt:lpstr>wdnb</vt:lpstr>
      <vt:lpstr>wdnm</vt:lpstr>
      <vt:lpstr>wdnv</vt:lpstr>
      <vt:lpstr>wdpz</vt:lpstr>
      <vt:lpstr>wdqq</vt:lpstr>
      <vt:lpstr>wdqw</vt:lpstr>
      <vt:lpstr>wdrq</vt:lpstr>
      <vt:lpstr>wdvh</vt:lpstr>
      <vt:lpstr>wdwp</vt:lpstr>
      <vt:lpstr>wdwr</vt:lpstr>
      <vt:lpstr>wfbz</vt:lpstr>
      <vt:lpstr>wfdv</vt:lpstr>
      <vt:lpstr>wffm</vt:lpstr>
      <vt:lpstr>wfjf</vt:lpstr>
      <vt:lpstr>wfqh</vt:lpstr>
      <vt:lpstr>wfwm</vt:lpstr>
      <vt:lpstr>wfzs</vt:lpstr>
      <vt:lpstr>wgdz</vt:lpstr>
      <vt:lpstr>wgfc</vt:lpstr>
      <vt:lpstr>wgfr</vt:lpstr>
      <vt:lpstr>wglt</vt:lpstr>
      <vt:lpstr>wgmh</vt:lpstr>
      <vt:lpstr>wgmn</vt:lpstr>
      <vt:lpstr>wgpl</vt:lpstr>
      <vt:lpstr>wgqp</vt:lpstr>
      <vt:lpstr>wgvm</vt:lpstr>
      <vt:lpstr>whcv</vt:lpstr>
      <vt:lpstr>whdr</vt:lpstr>
      <vt:lpstr>whhd</vt:lpstr>
      <vt:lpstr>whml</vt:lpstr>
      <vt:lpstr>whpr</vt:lpstr>
      <vt:lpstr>whtb</vt:lpstr>
      <vt:lpstr>whth</vt:lpstr>
      <vt:lpstr>whzz</vt:lpstr>
      <vt:lpstr>wjbf</vt:lpstr>
      <vt:lpstr>wjcr</vt:lpstr>
      <vt:lpstr>wjfj</vt:lpstr>
      <vt:lpstr>wjgw</vt:lpstr>
      <vt:lpstr>wjhg</vt:lpstr>
      <vt:lpstr>wjhj</vt:lpstr>
      <vt:lpstr>wjjp</vt:lpstr>
      <vt:lpstr>wjlh</vt:lpstr>
      <vt:lpstr>wjnt</vt:lpstr>
      <vt:lpstr>wjpp</vt:lpstr>
      <vt:lpstr>wjpt</vt:lpstr>
      <vt:lpstr>wjsq</vt:lpstr>
      <vt:lpstr>wjtd</vt:lpstr>
      <vt:lpstr>wjtp</vt:lpstr>
      <vt:lpstr>wjwz</vt:lpstr>
      <vt:lpstr>wjzg</vt:lpstr>
      <vt:lpstr>wlbm</vt:lpstr>
      <vt:lpstr>wlpf</vt:lpstr>
      <vt:lpstr>wlvl</vt:lpstr>
      <vt:lpstr>wlvr</vt:lpstr>
      <vt:lpstr>wlwv</vt:lpstr>
      <vt:lpstr>wmbb</vt:lpstr>
      <vt:lpstr>wmbh</vt:lpstr>
      <vt:lpstr>wmmt</vt:lpstr>
      <vt:lpstr>wmrp</vt:lpstr>
      <vt:lpstr>wnct</vt:lpstr>
      <vt:lpstr>wnfd</vt:lpstr>
      <vt:lpstr>wnms</vt:lpstr>
      <vt:lpstr>wnql</vt:lpstr>
      <vt:lpstr>wnvb</vt:lpstr>
      <vt:lpstr>wnzg</vt:lpstr>
      <vt:lpstr>wphd</vt:lpstr>
      <vt:lpstr>wpln</vt:lpstr>
      <vt:lpstr>wppb</vt:lpstr>
      <vt:lpstr>wqch</vt:lpstr>
      <vt:lpstr>wqlf</vt:lpstr>
      <vt:lpstr>wqmt</vt:lpstr>
      <vt:lpstr>wqqc</vt:lpstr>
      <vt:lpstr>wqrt</vt:lpstr>
      <vt:lpstr>wrcr</vt:lpstr>
      <vt:lpstr>wrdh</vt:lpstr>
      <vt:lpstr>wrfn</vt:lpstr>
      <vt:lpstr>wrlp</vt:lpstr>
      <vt:lpstr>wrnp</vt:lpstr>
      <vt:lpstr>wrqd</vt:lpstr>
      <vt:lpstr>wrqg</vt:lpstr>
      <vt:lpstr>wrrn</vt:lpstr>
      <vt:lpstr>wrrz</vt:lpstr>
      <vt:lpstr>wrsf</vt:lpstr>
      <vt:lpstr>wrtb</vt:lpstr>
      <vt:lpstr>wrth</vt:lpstr>
      <vt:lpstr>wsbv</vt:lpstr>
      <vt:lpstr>wsfs</vt:lpstr>
      <vt:lpstr>wsst</vt:lpstr>
      <vt:lpstr>wstm</vt:lpstr>
      <vt:lpstr>wtcb</vt:lpstr>
      <vt:lpstr>wtcd</vt:lpstr>
      <vt:lpstr>wtjz</vt:lpstr>
      <vt:lpstr>wtnb</vt:lpstr>
      <vt:lpstr>wttp</vt:lpstr>
      <vt:lpstr>wtwv</vt:lpstr>
      <vt:lpstr>wvcp</vt:lpstr>
      <vt:lpstr>wvcs</vt:lpstr>
      <vt:lpstr>wvdg</vt:lpstr>
      <vt:lpstr>wvfr</vt:lpstr>
      <vt:lpstr>wvfw</vt:lpstr>
      <vt:lpstr>wvlr</vt:lpstr>
      <vt:lpstr>wvml</vt:lpstr>
      <vt:lpstr>wvmm</vt:lpstr>
      <vt:lpstr>wvmv</vt:lpstr>
      <vt:lpstr>wvrm</vt:lpstr>
      <vt:lpstr>wvsc</vt:lpstr>
      <vt:lpstr>wvsj</vt:lpstr>
      <vt:lpstr>wvtc</vt:lpstr>
      <vt:lpstr>wvtm</vt:lpstr>
      <vt:lpstr>wvwf</vt:lpstr>
      <vt:lpstr>wvwh</vt:lpstr>
      <vt:lpstr>wvwn</vt:lpstr>
      <vt:lpstr>wwgw</vt:lpstr>
      <vt:lpstr>wwhs</vt:lpstr>
      <vt:lpstr>wwmq</vt:lpstr>
      <vt:lpstr>wwms</vt:lpstr>
      <vt:lpstr>wwnj</vt:lpstr>
      <vt:lpstr>wwvv</vt:lpstr>
      <vt:lpstr>wwzp</vt:lpstr>
      <vt:lpstr>wzbm</vt:lpstr>
      <vt:lpstr>wzdf</vt:lpstr>
      <vt:lpstr>wzfd</vt:lpstr>
      <vt:lpstr>wzfn</vt:lpstr>
      <vt:lpstr>wzfs</vt:lpstr>
      <vt:lpstr>wzgl</vt:lpstr>
      <vt:lpstr>wzhp</vt:lpstr>
      <vt:lpstr>wzjb</vt:lpstr>
      <vt:lpstr>wzjj</vt:lpstr>
      <vt:lpstr>wzmm</vt:lpstr>
      <vt:lpstr>wznw</vt:lpstr>
      <vt:lpstr>wzph</vt:lpstr>
      <vt:lpstr>wzql</vt:lpstr>
      <vt:lpstr>wzsh</vt:lpstr>
      <vt:lpstr>wzsn</vt:lpstr>
      <vt:lpstr>wzts</vt:lpstr>
      <vt:lpstr>wzwp</vt:lpstr>
      <vt:lpstr>wzws</vt:lpstr>
      <vt:lpstr>zbbs</vt:lpstr>
      <vt:lpstr>zbcw</vt:lpstr>
      <vt:lpstr>zbhz</vt:lpstr>
      <vt:lpstr>zbjj</vt:lpstr>
      <vt:lpstr>zbjp</vt:lpstr>
      <vt:lpstr>zbmp</vt:lpstr>
      <vt:lpstr>zbmw</vt:lpstr>
      <vt:lpstr>zbnw</vt:lpstr>
      <vt:lpstr>zbzr</vt:lpstr>
      <vt:lpstr>zcbw</vt:lpstr>
      <vt:lpstr>zcfq</vt:lpstr>
      <vt:lpstr>zchq</vt:lpstr>
      <vt:lpstr>zclc</vt:lpstr>
      <vt:lpstr>zclt</vt:lpstr>
      <vt:lpstr>zcpc</vt:lpstr>
      <vt:lpstr>zcsf</vt:lpstr>
      <vt:lpstr>zctw</vt:lpstr>
      <vt:lpstr>zcvz</vt:lpstr>
      <vt:lpstr>zczc</vt:lpstr>
      <vt:lpstr>zdbl</vt:lpstr>
      <vt:lpstr>zddm</vt:lpstr>
      <vt:lpstr>zdmp</vt:lpstr>
      <vt:lpstr>zdnr</vt:lpstr>
      <vt:lpstr>zdpw</vt:lpstr>
      <vt:lpstr>zdqz</vt:lpstr>
      <vt:lpstr>zdsd</vt:lpstr>
      <vt:lpstr>zfbr</vt:lpstr>
      <vt:lpstr>zfpr</vt:lpstr>
      <vt:lpstr>zfrc</vt:lpstr>
      <vt:lpstr>zfrm</vt:lpstr>
      <vt:lpstr>zfsf</vt:lpstr>
      <vt:lpstr>zftc</vt:lpstr>
      <vt:lpstr>zgdm</vt:lpstr>
      <vt:lpstr>zgjb</vt:lpstr>
      <vt:lpstr>zgqm</vt:lpstr>
      <vt:lpstr>zgrj</vt:lpstr>
      <vt:lpstr>zgtr</vt:lpstr>
      <vt:lpstr>zgtv</vt:lpstr>
      <vt:lpstr>zgvc</vt:lpstr>
      <vt:lpstr>zgvg</vt:lpstr>
      <vt:lpstr>zhbn</vt:lpstr>
      <vt:lpstr>zhfd</vt:lpstr>
      <vt:lpstr>zhjf</vt:lpstr>
      <vt:lpstr>zhlb</vt:lpstr>
      <vt:lpstr>zhmd</vt:lpstr>
      <vt:lpstr>zhpr</vt:lpstr>
      <vt:lpstr>zhqf</vt:lpstr>
      <vt:lpstr>zhqv</vt:lpstr>
      <vt:lpstr>zhtq</vt:lpstr>
      <vt:lpstr>zhvc</vt:lpstr>
      <vt:lpstr>zhvz</vt:lpstr>
      <vt:lpstr>zjdm</vt:lpstr>
      <vt:lpstr>zjdz</vt:lpstr>
      <vt:lpstr>zjgt</vt:lpstr>
      <vt:lpstr>zjps</vt:lpstr>
      <vt:lpstr>zjzs</vt:lpstr>
      <vt:lpstr>zlbd</vt:lpstr>
      <vt:lpstr>zlbp</vt:lpstr>
      <vt:lpstr>zlcn</vt:lpstr>
      <vt:lpstr>zlfm</vt:lpstr>
      <vt:lpstr>zljs</vt:lpstr>
      <vt:lpstr>zlpr</vt:lpstr>
      <vt:lpstr>zlsb</vt:lpstr>
      <vt:lpstr>zltj</vt:lpstr>
      <vt:lpstr>zlvj</vt:lpstr>
      <vt:lpstr>zmbb</vt:lpstr>
      <vt:lpstr>zmcn</vt:lpstr>
      <vt:lpstr>zmfn</vt:lpstr>
      <vt:lpstr>zmlm</vt:lpstr>
      <vt:lpstr>zmnz</vt:lpstr>
      <vt:lpstr>zmqb</vt:lpstr>
      <vt:lpstr>zmrg</vt:lpstr>
      <vt:lpstr>zmwp</vt:lpstr>
      <vt:lpstr>zncf</vt:lpstr>
      <vt:lpstr>zngc</vt:lpstr>
      <vt:lpstr>zngh</vt:lpstr>
      <vt:lpstr>znnc</vt:lpstr>
      <vt:lpstr>znnj</vt:lpstr>
      <vt:lpstr>znpv</vt:lpstr>
      <vt:lpstr>znrf</vt:lpstr>
      <vt:lpstr>znrp</vt:lpstr>
      <vt:lpstr>zntm</vt:lpstr>
      <vt:lpstr>znvj</vt:lpstr>
      <vt:lpstr>znzl</vt:lpstr>
      <vt:lpstr>zpft</vt:lpstr>
      <vt:lpstr>zplw</vt:lpstr>
      <vt:lpstr>zppc</vt:lpstr>
      <vt:lpstr>zppz</vt:lpstr>
      <vt:lpstr>zprc</vt:lpstr>
      <vt:lpstr>zpsb</vt:lpstr>
      <vt:lpstr>zptv</vt:lpstr>
      <vt:lpstr>zptw</vt:lpstr>
      <vt:lpstr>zqcn</vt:lpstr>
      <vt:lpstr>zqdb</vt:lpstr>
      <vt:lpstr>zqfs</vt:lpstr>
      <vt:lpstr>zqgl</vt:lpstr>
      <vt:lpstr>zqjl</vt:lpstr>
      <vt:lpstr>zqjs</vt:lpstr>
      <vt:lpstr>zqqs</vt:lpstr>
      <vt:lpstr>zqsq</vt:lpstr>
      <vt:lpstr>zqtd</vt:lpstr>
      <vt:lpstr>zqwp</vt:lpstr>
      <vt:lpstr>zqzr</vt:lpstr>
      <vt:lpstr>zrbl</vt:lpstr>
      <vt:lpstr>zrcm</vt:lpstr>
      <vt:lpstr>zrlm</vt:lpstr>
      <vt:lpstr>zrmr</vt:lpstr>
      <vt:lpstr>zrpj</vt:lpstr>
      <vt:lpstr>zrqw</vt:lpstr>
      <vt:lpstr>zrtv</vt:lpstr>
      <vt:lpstr>zrvn</vt:lpstr>
      <vt:lpstr>zrvq</vt:lpstr>
      <vt:lpstr>zrwh</vt:lpstr>
      <vt:lpstr>zsdf</vt:lpstr>
      <vt:lpstr>zsfg</vt:lpstr>
      <vt:lpstr>zshc</vt:lpstr>
      <vt:lpstr>zsrg</vt:lpstr>
      <vt:lpstr>zsrv</vt:lpstr>
      <vt:lpstr>zsvn</vt:lpstr>
      <vt:lpstr>zswn</vt:lpstr>
      <vt:lpstr>zszf</vt:lpstr>
      <vt:lpstr>ztbg</vt:lpstr>
      <vt:lpstr>ztdt</vt:lpstr>
      <vt:lpstr>ztgr</vt:lpstr>
      <vt:lpstr>zthq</vt:lpstr>
      <vt:lpstr>ztjg</vt:lpstr>
      <vt:lpstr>ztnq</vt:lpstr>
      <vt:lpstr>ztqf</vt:lpstr>
      <vt:lpstr>ztql</vt:lpstr>
      <vt:lpstr>ztsp</vt:lpstr>
      <vt:lpstr>zvbh</vt:lpstr>
      <vt:lpstr>zvdj</vt:lpstr>
      <vt:lpstr>zvfc</vt:lpstr>
      <vt:lpstr>zvhr</vt:lpstr>
      <vt:lpstr>zvjg</vt:lpstr>
      <vt:lpstr>zvjq</vt:lpstr>
      <vt:lpstr>zvnj</vt:lpstr>
      <vt:lpstr>zvsp</vt:lpstr>
      <vt:lpstr>zvvw</vt:lpstr>
      <vt:lpstr>zwbm</vt:lpstr>
      <vt:lpstr>zwcs</vt:lpstr>
      <vt:lpstr>zwcz</vt:lpstr>
      <vt:lpstr>zwdd</vt:lpstr>
      <vt:lpstr>zwdr</vt:lpstr>
      <vt:lpstr>zwhd</vt:lpstr>
      <vt:lpstr>zwnj</vt:lpstr>
      <vt:lpstr>zwrr</vt:lpstr>
      <vt:lpstr>zzhl</vt:lpstr>
      <vt:lpstr>zzlf</vt:lpstr>
      <vt:lpstr>zzrg</vt:lpstr>
      <vt:lpstr>zztb</vt:lpstr>
      <vt:lpstr>zztm</vt:lpstr>
      <vt:lpstr>zzwg</vt:lpstr>
      <vt:lpstr>zzzb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2022-12-21T05:13:40Z</dcterms:created>
  <dcterms:modified xsi:type="dcterms:W3CDTF">2022-12-21T11:57:08Z</dcterms:modified>
</cp:coreProperties>
</file>